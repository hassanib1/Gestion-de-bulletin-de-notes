
<file path=[Content_Types].xml><?xml version="1.0" encoding="utf-8"?>
<Types xmlns="http://schemas.openxmlformats.org/package/2006/content-types">
  <Default Extension="png" ContentType="image/png"/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ctrlProps/ctrlProp9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eveloppement vba et excel\"/>
    </mc:Choice>
  </mc:AlternateContent>
  <bookViews>
    <workbookView xWindow="0" yWindow="0" windowWidth="20490" windowHeight="7905" activeTab="7"/>
  </bookViews>
  <sheets>
    <sheet name="Accueil" sheetId="1" r:id="rId1"/>
    <sheet name="Eleve" sheetId="2" r:id="rId2"/>
    <sheet name="Matieres" sheetId="3" r:id="rId3"/>
    <sheet name="notes" sheetId="4" state="hidden" r:id="rId4"/>
    <sheet name="Bulletin" sheetId="6" r:id="rId5"/>
    <sheet name="Feuil1" sheetId="8" r:id="rId6"/>
    <sheet name="Bulletin2" sheetId="7" r:id="rId7"/>
    <sheet name="BulletinAnnuel" sheetId="9" r:id="rId8"/>
    <sheet name="Configuration" sheetId="5" state="hidden" r:id="rId9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9" l="1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14" i="9"/>
  <c r="H39" i="9"/>
  <c r="D39" i="9"/>
  <c r="B39" i="9"/>
  <c r="H33" i="9"/>
  <c r="H34" i="9"/>
  <c r="H37" i="9"/>
  <c r="H38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14" i="9"/>
  <c r="E15" i="9"/>
  <c r="E16" i="9"/>
  <c r="I16" i="9" s="1"/>
  <c r="E17" i="9"/>
  <c r="E18" i="9"/>
  <c r="I18" i="9" s="1"/>
  <c r="E19" i="9"/>
  <c r="E20" i="9"/>
  <c r="E21" i="9"/>
  <c r="E22" i="9"/>
  <c r="I22" i="9" s="1"/>
  <c r="E23" i="9"/>
  <c r="E24" i="9"/>
  <c r="I24" i="9" s="1"/>
  <c r="E25" i="9"/>
  <c r="E26" i="9"/>
  <c r="I26" i="9" s="1"/>
  <c r="E27" i="9"/>
  <c r="E28" i="9"/>
  <c r="E29" i="9"/>
  <c r="E30" i="9"/>
  <c r="I30" i="9" s="1"/>
  <c r="E31" i="9"/>
  <c r="I31" i="9" s="1"/>
  <c r="E32" i="9"/>
  <c r="I32" i="9" s="1"/>
  <c r="E33" i="9"/>
  <c r="I33" i="9" s="1"/>
  <c r="E34" i="9"/>
  <c r="I34" i="9" s="1"/>
  <c r="E35" i="9"/>
  <c r="I35" i="9" s="1"/>
  <c r="E36" i="9"/>
  <c r="I36" i="9" s="1"/>
  <c r="E37" i="9"/>
  <c r="I37" i="9" s="1"/>
  <c r="E38" i="9"/>
  <c r="I38" i="9" s="1"/>
  <c r="E14" i="9"/>
  <c r="D33" i="9"/>
  <c r="G33" i="9" s="1"/>
  <c r="D34" i="9"/>
  <c r="G34" i="9" s="1"/>
  <c r="D35" i="9"/>
  <c r="H35" i="9" s="1"/>
  <c r="D36" i="9"/>
  <c r="H36" i="9" s="1"/>
  <c r="D37" i="9"/>
  <c r="G37" i="9" s="1"/>
  <c r="D38" i="9"/>
  <c r="G38" i="9" s="1"/>
  <c r="B33" i="9"/>
  <c r="B34" i="9"/>
  <c r="B35" i="9"/>
  <c r="B36" i="9"/>
  <c r="B37" i="9"/>
  <c r="B38" i="9"/>
  <c r="K42" i="9"/>
  <c r="D32" i="9"/>
  <c r="B32" i="9"/>
  <c r="G31" i="9"/>
  <c r="D31" i="9"/>
  <c r="H31" i="9" s="1"/>
  <c r="B31" i="9"/>
  <c r="D30" i="9"/>
  <c r="H30" i="9" s="1"/>
  <c r="B30" i="9"/>
  <c r="I29" i="9"/>
  <c r="D29" i="9"/>
  <c r="H29" i="9" s="1"/>
  <c r="B29" i="9"/>
  <c r="I28" i="9"/>
  <c r="D28" i="9"/>
  <c r="H28" i="9" s="1"/>
  <c r="B28" i="9"/>
  <c r="I27" i="9"/>
  <c r="D27" i="9"/>
  <c r="H27" i="9" s="1"/>
  <c r="B27" i="9"/>
  <c r="G26" i="9"/>
  <c r="D26" i="9"/>
  <c r="H26" i="9" s="1"/>
  <c r="B26" i="9"/>
  <c r="I25" i="9"/>
  <c r="D25" i="9"/>
  <c r="H25" i="9" s="1"/>
  <c r="B25" i="9"/>
  <c r="G24" i="9"/>
  <c r="D24" i="9"/>
  <c r="H24" i="9" s="1"/>
  <c r="B24" i="9"/>
  <c r="I23" i="9"/>
  <c r="D23" i="9"/>
  <c r="H23" i="9" s="1"/>
  <c r="B23" i="9"/>
  <c r="D22" i="9"/>
  <c r="H22" i="9" s="1"/>
  <c r="B22" i="9"/>
  <c r="I21" i="9"/>
  <c r="D21" i="9"/>
  <c r="H21" i="9" s="1"/>
  <c r="B21" i="9"/>
  <c r="I20" i="9"/>
  <c r="D20" i="9"/>
  <c r="H20" i="9" s="1"/>
  <c r="B20" i="9"/>
  <c r="I19" i="9"/>
  <c r="D19" i="9"/>
  <c r="H19" i="9" s="1"/>
  <c r="B19" i="9"/>
  <c r="G18" i="9"/>
  <c r="D18" i="9"/>
  <c r="H18" i="9" s="1"/>
  <c r="B18" i="9"/>
  <c r="I17" i="9"/>
  <c r="D17" i="9"/>
  <c r="H17" i="9" s="1"/>
  <c r="B17" i="9"/>
  <c r="G16" i="9"/>
  <c r="D16" i="9"/>
  <c r="H16" i="9" s="1"/>
  <c r="B16" i="9"/>
  <c r="I15" i="9"/>
  <c r="D15" i="9"/>
  <c r="H15" i="9" s="1"/>
  <c r="B15" i="9"/>
  <c r="D14" i="9"/>
  <c r="H14" i="9" s="1"/>
  <c r="B14" i="9"/>
  <c r="B10" i="9"/>
  <c r="G32" i="9" l="1"/>
  <c r="C39" i="9"/>
  <c r="G15" i="9"/>
  <c r="G23" i="9"/>
  <c r="G14" i="9"/>
  <c r="G36" i="9"/>
  <c r="G35" i="9"/>
  <c r="G19" i="9"/>
  <c r="G27" i="9"/>
  <c r="G29" i="9"/>
  <c r="G25" i="9"/>
  <c r="G21" i="9"/>
  <c r="G17" i="9"/>
  <c r="G20" i="9"/>
  <c r="G22" i="9"/>
  <c r="G28" i="9"/>
  <c r="G30" i="9"/>
  <c r="I14" i="9"/>
  <c r="H32" i="9"/>
  <c r="C41" i="9" s="1"/>
  <c r="C15" i="6"/>
  <c r="C14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G39" i="9" l="1"/>
  <c r="E41" i="9" s="1"/>
  <c r="C33" i="6"/>
  <c r="C14" i="8"/>
  <c r="E14" i="6"/>
  <c r="I41" i="9" l="1"/>
  <c r="H41" i="9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15" i="7"/>
  <c r="F16" i="7"/>
  <c r="F17" i="7"/>
  <c r="F18" i="7"/>
  <c r="F19" i="7"/>
  <c r="F14" i="7"/>
  <c r="E15" i="7"/>
  <c r="E16" i="7"/>
  <c r="E17" i="7"/>
  <c r="E18" i="7"/>
  <c r="E19" i="7"/>
  <c r="E14" i="7"/>
  <c r="E15" i="6"/>
  <c r="I15" i="6" s="1"/>
  <c r="E16" i="6"/>
  <c r="I16" i="6" s="1"/>
  <c r="E17" i="6"/>
  <c r="I17" i="6" s="1"/>
  <c r="E18" i="6"/>
  <c r="I18" i="6" s="1"/>
  <c r="E19" i="6"/>
  <c r="I19" i="6" s="1"/>
  <c r="E20" i="6"/>
  <c r="I20" i="6" s="1"/>
  <c r="E21" i="6"/>
  <c r="I21" i="6" s="1"/>
  <c r="E22" i="6"/>
  <c r="I22" i="6" s="1"/>
  <c r="E23" i="6"/>
  <c r="I23" i="6" s="1"/>
  <c r="E24" i="6"/>
  <c r="I24" i="6" s="1"/>
  <c r="E25" i="6"/>
  <c r="I25" i="6" s="1"/>
  <c r="E26" i="6"/>
  <c r="I26" i="6" s="1"/>
  <c r="E27" i="6"/>
  <c r="I27" i="6" s="1"/>
  <c r="E28" i="6"/>
  <c r="I28" i="6" s="1"/>
  <c r="E29" i="6"/>
  <c r="I29" i="6" s="1"/>
  <c r="E30" i="6"/>
  <c r="I30" i="6" s="1"/>
  <c r="E31" i="6"/>
  <c r="I31" i="6" s="1"/>
  <c r="E32" i="6"/>
  <c r="I32" i="6" s="1"/>
  <c r="I14" i="6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1" i="4"/>
  <c r="F1002" i="4"/>
  <c r="F1003" i="4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4" i="6" l="1"/>
  <c r="I15" i="7"/>
  <c r="I16" i="7"/>
  <c r="I17" i="7"/>
  <c r="I18" i="7"/>
  <c r="I19" i="7"/>
  <c r="I14" i="7"/>
  <c r="C15" i="7"/>
  <c r="C16" i="7"/>
  <c r="C17" i="7"/>
  <c r="C18" i="7"/>
  <c r="C19" i="7"/>
  <c r="C14" i="7"/>
  <c r="B9" i="7"/>
  <c r="B10" i="7"/>
  <c r="B16" i="7"/>
  <c r="B14" i="7"/>
  <c r="B15" i="7"/>
  <c r="B19" i="7"/>
  <c r="K23" i="7"/>
  <c r="D19" i="7"/>
  <c r="D15" i="7"/>
  <c r="B10" i="6"/>
  <c r="B9" i="6"/>
  <c r="G15" i="7" l="1"/>
  <c r="D16" i="7"/>
  <c r="G16" i="7" s="1"/>
  <c r="H19" i="7"/>
  <c r="D17" i="7"/>
  <c r="H15" i="7"/>
  <c r="B18" i="7"/>
  <c r="B17" i="7"/>
  <c r="G19" i="7"/>
  <c r="D14" i="7"/>
  <c r="G14" i="7" s="1"/>
  <c r="D18" i="7"/>
  <c r="H18" i="7" s="1"/>
  <c r="K36" i="6"/>
  <c r="D15" i="6"/>
  <c r="D17" i="6"/>
  <c r="D21" i="6"/>
  <c r="D23" i="6"/>
  <c r="D25" i="6"/>
  <c r="D29" i="6"/>
  <c r="D31" i="6"/>
  <c r="D19" i="6"/>
  <c r="D27" i="6"/>
  <c r="D28" i="6"/>
  <c r="B15" i="6"/>
  <c r="B17" i="6"/>
  <c r="B18" i="6"/>
  <c r="B19" i="6"/>
  <c r="B21" i="6"/>
  <c r="B22" i="6"/>
  <c r="B23" i="6"/>
  <c r="B25" i="6"/>
  <c r="B27" i="6"/>
  <c r="B28" i="6"/>
  <c r="B31" i="6"/>
  <c r="B32" i="6"/>
  <c r="B14" i="6"/>
  <c r="H16" i="7" l="1"/>
  <c r="H17" i="7"/>
  <c r="G17" i="7"/>
  <c r="D20" i="7"/>
  <c r="G18" i="7"/>
  <c r="C20" i="7"/>
  <c r="B20" i="7"/>
  <c r="H14" i="7"/>
  <c r="D24" i="6"/>
  <c r="G24" i="6" s="1"/>
  <c r="D14" i="6"/>
  <c r="G14" i="6" s="1"/>
  <c r="B29" i="6"/>
  <c r="B24" i="6"/>
  <c r="B20" i="6"/>
  <c r="B16" i="6"/>
  <c r="D32" i="6"/>
  <c r="H32" i="6" s="1"/>
  <c r="D20" i="6"/>
  <c r="H20" i="6" s="1"/>
  <c r="B30" i="6"/>
  <c r="B26" i="6"/>
  <c r="H28" i="6"/>
  <c r="D16" i="6"/>
  <c r="H16" i="6" s="1"/>
  <c r="H29" i="6"/>
  <c r="H25" i="6"/>
  <c r="H21" i="6"/>
  <c r="H17" i="6"/>
  <c r="G31" i="6"/>
  <c r="G27" i="6"/>
  <c r="G23" i="6"/>
  <c r="G19" i="6"/>
  <c r="G15" i="6"/>
  <c r="D30" i="6"/>
  <c r="D26" i="6"/>
  <c r="D22" i="6"/>
  <c r="D18" i="6"/>
  <c r="H18" i="6" s="1"/>
  <c r="G28" i="6"/>
  <c r="H31" i="6"/>
  <c r="H27" i="6"/>
  <c r="H23" i="6"/>
  <c r="H19" i="6"/>
  <c r="H15" i="6"/>
  <c r="H24" i="6" l="1"/>
  <c r="G20" i="7"/>
  <c r="E22" i="7" s="1"/>
  <c r="H20" i="7"/>
  <c r="C22" i="7" s="1"/>
  <c r="B33" i="6"/>
  <c r="G32" i="6"/>
  <c r="G20" i="6"/>
  <c r="G26" i="6"/>
  <c r="G30" i="6"/>
  <c r="H14" i="6"/>
  <c r="H30" i="6"/>
  <c r="G16" i="6"/>
  <c r="D33" i="6"/>
  <c r="G18" i="6"/>
  <c r="H26" i="6"/>
  <c r="G22" i="6"/>
  <c r="G17" i="6"/>
  <c r="G21" i="6"/>
  <c r="G25" i="6"/>
  <c r="H22" i="6"/>
  <c r="G29" i="6"/>
  <c r="I22" i="7" l="1"/>
  <c r="H33" i="6"/>
  <c r="C35" i="6" s="1"/>
  <c r="G33" i="6"/>
  <c r="E35" i="6" s="1"/>
  <c r="H22" i="7" s="1"/>
  <c r="H35" i="6" l="1"/>
  <c r="I35" i="6"/>
</calcChain>
</file>

<file path=xl/sharedStrings.xml><?xml version="1.0" encoding="utf-8"?>
<sst xmlns="http://schemas.openxmlformats.org/spreadsheetml/2006/main" count="524" uniqueCount="118">
  <si>
    <t>Matricule</t>
  </si>
  <si>
    <t>Classe</t>
  </si>
  <si>
    <t>Matiere</t>
  </si>
  <si>
    <t>Sexe</t>
  </si>
  <si>
    <t>Masculin</t>
  </si>
  <si>
    <t>Feminin</t>
  </si>
  <si>
    <t>Nombre de Note</t>
  </si>
  <si>
    <t>Bachelor1</t>
  </si>
  <si>
    <t>Bachelor2</t>
  </si>
  <si>
    <t>Bachelor3</t>
  </si>
  <si>
    <t>Master1</t>
  </si>
  <si>
    <t>Master2</t>
  </si>
  <si>
    <t>Doctorat</t>
  </si>
  <si>
    <t>Profesorat</t>
  </si>
  <si>
    <t>Anglais</t>
  </si>
  <si>
    <t>Noms et prenoms</t>
  </si>
  <si>
    <t>classe</t>
  </si>
  <si>
    <t>Algebre</t>
  </si>
  <si>
    <t>Français</t>
  </si>
  <si>
    <t>Architecture_réseau</t>
  </si>
  <si>
    <t>Architecture ordinateur</t>
  </si>
  <si>
    <t>Base de données</t>
  </si>
  <si>
    <t>Merise</t>
  </si>
  <si>
    <t>Langage C</t>
  </si>
  <si>
    <t>Algorithme</t>
  </si>
  <si>
    <t>Statistiques</t>
  </si>
  <si>
    <t>Vba excel</t>
  </si>
  <si>
    <t>CCNA1</t>
  </si>
  <si>
    <t>CCNA2</t>
  </si>
  <si>
    <t>Cybersecurite</t>
  </si>
  <si>
    <t>Internet marketing</t>
  </si>
  <si>
    <t>Java script</t>
  </si>
  <si>
    <t>HTML</t>
  </si>
  <si>
    <t>PHP</t>
  </si>
  <si>
    <t>CSS</t>
  </si>
  <si>
    <t>Matricule de l'eleve</t>
  </si>
  <si>
    <t>Nom et prénom</t>
  </si>
  <si>
    <t>Nbre de notes prevu</t>
  </si>
  <si>
    <t>Nbre de notes obtenu</t>
  </si>
  <si>
    <t>Coef</t>
  </si>
  <si>
    <t>MOYENNES</t>
  </si>
  <si>
    <t>Eleve</t>
  </si>
  <si>
    <t>Moy*Coef</t>
  </si>
  <si>
    <t>Appreciations et Observations generales</t>
  </si>
  <si>
    <t>Matieres</t>
  </si>
  <si>
    <t>TOTAUX</t>
  </si>
  <si>
    <t>MOYENNE DE LA CLASSE</t>
  </si>
  <si>
    <t>MOYENNE DE L'ELEVE</t>
  </si>
  <si>
    <t>COMMENTAIRES</t>
  </si>
  <si>
    <t>Appreciations</t>
  </si>
  <si>
    <t>Observations</t>
  </si>
  <si>
    <t>Heures d'absence</t>
  </si>
  <si>
    <t>Sanctions</t>
  </si>
  <si>
    <t>Signatures</t>
  </si>
  <si>
    <t>PARENT OU TUTEUR</t>
  </si>
  <si>
    <t>Prof p</t>
  </si>
  <si>
    <t>INFORMATIONS DE L'ELEVE</t>
  </si>
  <si>
    <t>Nom et prenoms</t>
  </si>
  <si>
    <t>0001B</t>
  </si>
  <si>
    <t>MOUNGO Beti</t>
  </si>
  <si>
    <t>0002B</t>
  </si>
  <si>
    <t>TCHAO Paul</t>
  </si>
  <si>
    <t>0003B</t>
  </si>
  <si>
    <t>NANA Arlette</t>
  </si>
  <si>
    <t>0004B</t>
  </si>
  <si>
    <t>BERANGA SAMUEL</t>
  </si>
  <si>
    <t>0005B</t>
  </si>
  <si>
    <t>CHEKSPIRE Yozars</t>
  </si>
  <si>
    <t>0006B</t>
  </si>
  <si>
    <t>ETON Pierre</t>
  </si>
  <si>
    <t>0007B</t>
  </si>
  <si>
    <t>SANDIWI Etienne</t>
  </si>
  <si>
    <t>Electronique</t>
  </si>
  <si>
    <t xml:space="preserve">Mecanique du point </t>
  </si>
  <si>
    <t>Mecanique du solide</t>
  </si>
  <si>
    <t>Mecanique du fluide</t>
  </si>
  <si>
    <t>Langue etrangere</t>
  </si>
  <si>
    <t>Business English</t>
  </si>
  <si>
    <t>Note CC</t>
  </si>
  <si>
    <t>Note SN</t>
  </si>
  <si>
    <t>Moyenne</t>
  </si>
  <si>
    <t>Crédit</t>
  </si>
  <si>
    <t>0008B</t>
  </si>
  <si>
    <t>OUSMAN Ibrahim</t>
  </si>
  <si>
    <t>0009B</t>
  </si>
  <si>
    <t>MARIA Ousman</t>
  </si>
  <si>
    <t>0010B</t>
  </si>
  <si>
    <t>BRAYAN Joel</t>
  </si>
  <si>
    <t>0011B</t>
  </si>
  <si>
    <t>AMINA Ibrahim</t>
  </si>
  <si>
    <t>moyenne des deux notes</t>
  </si>
  <si>
    <t>Ecole Supérieure Française KEYCE INFORMATIQUE ET INTELLIGENCE ARTIFICIELLE</t>
  </si>
  <si>
    <t>Bulletin de Notes du semestre I</t>
  </si>
  <si>
    <t>Ecole Supérieure Française KEYCE INFORMATIQUE ET INTELLIGENCE ARTIFFICIELLE</t>
  </si>
  <si>
    <t>Bulletin de notes du semestre II</t>
  </si>
  <si>
    <t>0020B</t>
  </si>
  <si>
    <t>ALINA</t>
  </si>
  <si>
    <t>Langage C++</t>
  </si>
  <si>
    <t>Algebre II</t>
  </si>
  <si>
    <t>Java script II</t>
  </si>
  <si>
    <t>Python</t>
  </si>
  <si>
    <t>Base de données II</t>
  </si>
  <si>
    <t>Algorithme de base</t>
  </si>
  <si>
    <t>Anglais II</t>
  </si>
  <si>
    <t>Big Data</t>
  </si>
  <si>
    <t>Algorithme III</t>
  </si>
  <si>
    <t>Intelligence artificielle</t>
  </si>
  <si>
    <t>Developpement web</t>
  </si>
  <si>
    <t>HTML ++</t>
  </si>
  <si>
    <t>Langage C III</t>
  </si>
  <si>
    <t>0030B</t>
  </si>
  <si>
    <t>MOUN Jaspers</t>
  </si>
  <si>
    <t>0020B2</t>
  </si>
  <si>
    <t>0030B3</t>
  </si>
  <si>
    <t>ZONE DE Recherche</t>
  </si>
  <si>
    <t>ZONE DE RESULTATS</t>
  </si>
  <si>
    <t>D'après l'étude effectuée sur les étudiants de bachelor 1 par rapport à leurs notes d'algèbre, on remarque la moitié des étudiants a une note inférieure ou égale à 13/20 ET L'autre moitié une note supérieure à 13/20.</t>
  </si>
  <si>
    <t>Bulletin de notes Annuel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</si>
</sst>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0"/>
      <color rgb="FF800000"/>
      <name val="Elephant"/>
      <family val="1"/>
    </font>
    <font>
      <b/>
      <sz val="20"/>
      <color rgb="FF993366"/>
      <name val="Elephant"/>
      <family val="1"/>
    </font>
    <font>
      <b/>
      <sz val="20"/>
      <color rgb="FF99CC00"/>
      <name val="Elephant"/>
      <family val="1"/>
    </font>
    <font>
      <b/>
      <sz val="20"/>
      <color rgb="FF000000"/>
      <name val="Elephant"/>
      <family val="1"/>
    </font>
    <font>
      <b/>
      <sz val="10"/>
      <color theme="1"/>
      <name val="Calibri"/>
      <family val="2"/>
      <scheme val="minor"/>
    </font>
    <font>
      <b/>
      <sz val="11"/>
      <color theme="1"/>
      <name val="Lucida Calligraphy"/>
      <family val="4"/>
    </font>
    <font>
      <b/>
      <sz val="12"/>
      <color theme="0"/>
      <name val="Algerian"/>
      <family val="5"/>
    </font>
    <font>
      <b/>
      <sz val="11"/>
      <color theme="0"/>
      <name val="Algerian"/>
      <family val="5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499984740745262"/>
        <bgColor indexed="64"/>
      </patternFill>
    </fill>
  </fills>
  <borders count="3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3" borderId="0" xfId="0" applyFill="1"/>
    <xf numFmtId="0" fontId="0" fillId="4" borderId="0" xfId="0" applyFill="1"/>
    <xf numFmtId="0" fontId="0" fillId="2" borderId="0" xfId="0" applyFill="1"/>
    <xf numFmtId="0" fontId="0" fillId="2" borderId="5" xfId="0" applyFill="1" applyBorder="1"/>
    <xf numFmtId="0" fontId="0" fillId="2" borderId="8" xfId="0" applyFill="1" applyBorder="1"/>
    <xf numFmtId="0" fontId="0" fillId="2" borderId="10" xfId="0" applyFill="1" applyBorder="1"/>
    <xf numFmtId="0" fontId="0" fillId="2" borderId="4" xfId="0" applyFill="1" applyBorder="1"/>
    <xf numFmtId="0" fontId="0" fillId="2" borderId="4" xfId="0" applyFill="1" applyBorder="1" applyAlignment="1">
      <alignment wrapText="1"/>
    </xf>
    <xf numFmtId="0" fontId="0" fillId="2" borderId="9" xfId="0" applyFill="1" applyBorder="1"/>
    <xf numFmtId="0" fontId="0" fillId="2" borderId="33" xfId="0" applyFill="1" applyBorder="1" applyAlignment="1"/>
    <xf numFmtId="0" fontId="0" fillId="2" borderId="11" xfId="0" applyFill="1" applyBorder="1"/>
    <xf numFmtId="0" fontId="0" fillId="2" borderId="12" xfId="0" applyFill="1" applyBorder="1"/>
    <xf numFmtId="0" fontId="0" fillId="5" borderId="0" xfId="0" applyFill="1"/>
    <xf numFmtId="0" fontId="0" fillId="6" borderId="0" xfId="0" applyFill="1"/>
    <xf numFmtId="0" fontId="8" fillId="5" borderId="0" xfId="0" applyFont="1" applyFill="1" applyAlignment="1">
      <alignment horizontal="center"/>
    </xf>
    <xf numFmtId="0" fontId="9" fillId="6" borderId="0" xfId="0" applyFont="1" applyFill="1" applyAlignment="1">
      <alignment horizontal="center"/>
    </xf>
    <xf numFmtId="0" fontId="7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24" xfId="0" applyFill="1" applyBorder="1" applyAlignment="1">
      <alignment horizontal="center" wrapText="1"/>
    </xf>
    <xf numFmtId="0" fontId="0" fillId="2" borderId="14" xfId="0" applyFill="1" applyBorder="1" applyAlignment="1">
      <alignment horizontal="center" wrapText="1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0" fillId="2" borderId="28" xfId="0" applyFill="1" applyBorder="1" applyAlignment="1">
      <alignment horizontal="center" wrapText="1"/>
    </xf>
    <xf numFmtId="0" fontId="0" fillId="2" borderId="1" xfId="0" applyFill="1" applyBorder="1" applyAlignment="1">
      <alignment horizontal="center" wrapText="1"/>
    </xf>
    <xf numFmtId="0" fontId="0" fillId="2" borderId="2" xfId="0" applyFill="1" applyBorder="1" applyAlignment="1">
      <alignment horizontal="center" wrapText="1"/>
    </xf>
    <xf numFmtId="0" fontId="0" fillId="2" borderId="21" xfId="0" applyFill="1" applyBorder="1" applyAlignment="1">
      <alignment horizontal="center" wrapText="1"/>
    </xf>
    <xf numFmtId="0" fontId="0" fillId="2" borderId="22" xfId="0" applyFill="1" applyBorder="1" applyAlignment="1">
      <alignment horizontal="center" wrapText="1"/>
    </xf>
    <xf numFmtId="0" fontId="0" fillId="2" borderId="30" xfId="0" applyFill="1" applyBorder="1" applyAlignment="1">
      <alignment horizontal="center" wrapText="1"/>
    </xf>
    <xf numFmtId="0" fontId="0" fillId="2" borderId="15" xfId="0" applyFill="1" applyBorder="1" applyAlignment="1">
      <alignment horizontal="center"/>
    </xf>
    <xf numFmtId="0" fontId="0" fillId="2" borderId="17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6" fillId="2" borderId="13" xfId="0" applyFont="1" applyFill="1" applyBorder="1" applyAlignment="1">
      <alignment horizontal="center" vertical="center" wrapText="1"/>
    </xf>
    <xf numFmtId="0" fontId="6" fillId="2" borderId="33" xfId="0" applyFont="1" applyFill="1" applyBorder="1" applyAlignment="1">
      <alignment horizontal="center" vertical="center" wrapText="1"/>
    </xf>
    <xf numFmtId="0" fontId="0" fillId="2" borderId="13" xfId="0" applyFill="1" applyBorder="1" applyAlignment="1">
      <alignment horizontal="center" wrapText="1"/>
    </xf>
    <xf numFmtId="0" fontId="0" fillId="2" borderId="33" xfId="0" applyFill="1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2" borderId="0" xfId="0" applyFill="1" applyAlignment="1">
      <alignment horizontal="center" wrapText="1"/>
    </xf>
  </cellXfs>
  <cellStyles count="1">
    <cellStyle name="Normal" xfId="0" builtinId="0"/>
  </cellStyles>
  <dxfs count="11">
    <dxf>
      <font>
        <color theme="4" tint="-0.24994659260841701"/>
      </font>
    </dxf>
    <dxf>
      <font>
        <color theme="7"/>
      </font>
    </dxf>
    <dxf>
      <font>
        <color rgb="FFFF0000"/>
      </font>
    </dxf>
    <dxf>
      <font>
        <color theme="5" tint="-0.24994659260841701"/>
      </font>
    </dxf>
    <dxf>
      <font>
        <color theme="7"/>
      </font>
    </dxf>
    <dxf>
      <font>
        <color rgb="FFFF0000"/>
      </font>
    </dxf>
    <dxf>
      <font>
        <color theme="5" tint="-0.24994659260841701"/>
      </font>
    </dxf>
    <dxf>
      <font>
        <color theme="4" tint="-0.24994659260841701"/>
      </font>
    </dxf>
    <dxf>
      <font>
        <color theme="7"/>
      </font>
    </dxf>
    <dxf>
      <font>
        <color rgb="FFFF0000"/>
      </font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jp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9524</xdr:rowOff>
    </xdr:from>
    <xdr:to>
      <xdr:col>17</xdr:col>
      <xdr:colOff>571500</xdr:colOff>
      <xdr:row>60</xdr:row>
      <xdr:rowOff>95249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4"/>
          <a:ext cx="13525500" cy="115157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14</xdr:row>
          <xdr:rowOff>180975</xdr:rowOff>
        </xdr:from>
        <xdr:to>
          <xdr:col>4</xdr:col>
          <xdr:colOff>66675</xdr:colOff>
          <xdr:row>21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99CC00"/>
                  </a:solidFill>
                  <a:latin typeface="Elephant"/>
                </a:rPr>
                <a:t>              GESTION DES ETUDIANTS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15</xdr:row>
          <xdr:rowOff>9525</xdr:rowOff>
        </xdr:from>
        <xdr:to>
          <xdr:col>9</xdr:col>
          <xdr:colOff>114300</xdr:colOff>
          <xdr:row>20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800000"/>
                  </a:solidFill>
                  <a:latin typeface="Elephant"/>
                </a:rPr>
                <a:t>             GESTION DES UNITES D'ENS.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14</xdr:row>
          <xdr:rowOff>180975</xdr:rowOff>
        </xdr:from>
        <xdr:to>
          <xdr:col>14</xdr:col>
          <xdr:colOff>95250</xdr:colOff>
          <xdr:row>20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993366"/>
                  </a:solidFill>
                  <a:latin typeface="Elephant"/>
                </a:rPr>
                <a:t>              GESTION DES NOTES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22</xdr:row>
          <xdr:rowOff>9525</xdr:rowOff>
        </xdr:from>
        <xdr:to>
          <xdr:col>10</xdr:col>
          <xdr:colOff>142875</xdr:colOff>
          <xdr:row>28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Elephant"/>
                </a:rPr>
                <a:t>         GENERER LE </a:t>
              </a:r>
            </a:p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Elephant"/>
                </a:rPr>
                <a:t>BULLETIN D'UN ETUDIANT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371475</xdr:colOff>
      <xdr:row>15</xdr:row>
      <xdr:rowOff>1</xdr:rowOff>
    </xdr:from>
    <xdr:to>
      <xdr:col>1</xdr:col>
      <xdr:colOff>552450</xdr:colOff>
      <xdr:row>17</xdr:row>
      <xdr:rowOff>161925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2857501"/>
          <a:ext cx="942975" cy="542924"/>
        </a:xfrm>
        <a:prstGeom prst="rect">
          <a:avLst/>
        </a:prstGeom>
      </xdr:spPr>
    </xdr:pic>
    <xdr:clientData/>
  </xdr:twoCellAnchor>
  <xdr:twoCellAnchor editAs="oneCell">
    <xdr:from>
      <xdr:col>10</xdr:col>
      <xdr:colOff>28575</xdr:colOff>
      <xdr:row>15</xdr:row>
      <xdr:rowOff>19050</xdr:rowOff>
    </xdr:from>
    <xdr:to>
      <xdr:col>11</xdr:col>
      <xdr:colOff>504825</xdr:colOff>
      <xdr:row>18</xdr:row>
      <xdr:rowOff>9526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2876550"/>
          <a:ext cx="1238250" cy="56197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9526</xdr:rowOff>
    </xdr:from>
    <xdr:to>
      <xdr:col>2</xdr:col>
      <xdr:colOff>19049</xdr:colOff>
      <xdr:row>6</xdr:row>
      <xdr:rowOff>28576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6"/>
          <a:ext cx="1543049" cy="11620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38100</xdr:rowOff>
    </xdr:from>
    <xdr:to>
      <xdr:col>6</xdr:col>
      <xdr:colOff>114300</xdr:colOff>
      <xdr:row>18</xdr:row>
      <xdr:rowOff>9526</xdr:rowOff>
    </xdr:to>
    <xdr:pic>
      <xdr:nvPicPr>
        <xdr:cNvPr id="8" name="Image 7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2895600"/>
          <a:ext cx="876300" cy="542926"/>
        </a:xfrm>
        <a:prstGeom prst="rect">
          <a:avLst/>
        </a:prstGeom>
      </xdr:spPr>
    </xdr:pic>
    <xdr:clientData/>
  </xdr:twoCellAnchor>
  <xdr:twoCellAnchor editAs="oneCell">
    <xdr:from>
      <xdr:col>3</xdr:col>
      <xdr:colOff>723899</xdr:colOff>
      <xdr:row>21</xdr:row>
      <xdr:rowOff>133350</xdr:rowOff>
    </xdr:from>
    <xdr:to>
      <xdr:col>5</xdr:col>
      <xdr:colOff>447674</xdr:colOff>
      <xdr:row>26</xdr:row>
      <xdr:rowOff>28576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899" y="4133850"/>
          <a:ext cx="1247775" cy="847726"/>
        </a:xfrm>
        <a:prstGeom prst="rect">
          <a:avLst/>
        </a:prstGeom>
      </xdr:spPr>
    </xdr:pic>
    <xdr:clientData/>
  </xdr:twoCellAnchor>
  <xdr:twoCellAnchor editAs="oneCell">
    <xdr:from>
      <xdr:col>6</xdr:col>
      <xdr:colOff>742950</xdr:colOff>
      <xdr:row>0</xdr:row>
      <xdr:rowOff>0</xdr:rowOff>
    </xdr:from>
    <xdr:to>
      <xdr:col>10</xdr:col>
      <xdr:colOff>19050</xdr:colOff>
      <xdr:row>8</xdr:row>
      <xdr:rowOff>0</xdr:rowOff>
    </xdr:to>
    <xdr:pic>
      <xdr:nvPicPr>
        <xdr:cNvPr id="12" name="Image 11" descr="E:\keyce logo.png"/>
        <xdr:cNvPicPr/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14950" y="0"/>
          <a:ext cx="2324100" cy="152400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752476</xdr:colOff>
      <xdr:row>0</xdr:row>
      <xdr:rowOff>0</xdr:rowOff>
    </xdr:from>
    <xdr:to>
      <xdr:col>6</xdr:col>
      <xdr:colOff>0</xdr:colOff>
      <xdr:row>7</xdr:row>
      <xdr:rowOff>133351</xdr:rowOff>
    </xdr:to>
    <xdr:pic>
      <xdr:nvPicPr>
        <xdr:cNvPr id="13" name="Image 12" descr="E:\cdp.png"/>
        <xdr:cNvPicPr/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76476" y="0"/>
          <a:ext cx="2295524" cy="1466851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</xdr:row>
          <xdr:rowOff>114300</xdr:rowOff>
        </xdr:from>
        <xdr:to>
          <xdr:col>9</xdr:col>
          <xdr:colOff>0</xdr:colOff>
          <xdr:row>3</xdr:row>
          <xdr:rowOff>85725</xdr:rowOff>
        </xdr:to>
        <xdr:sp macro="" textlink="">
          <xdr:nvSpPr>
            <xdr:cNvPr id="7171" name="TextBox1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323850</xdr:colOff>
          <xdr:row>5</xdr:row>
          <xdr:rowOff>180975</xdr:rowOff>
        </xdr:from>
        <xdr:to>
          <xdr:col>9</xdr:col>
          <xdr:colOff>666750</xdr:colOff>
          <xdr:row>14</xdr:row>
          <xdr:rowOff>47625</xdr:rowOff>
        </xdr:to>
        <xdr:sp macro="" textlink="">
          <xdr:nvSpPr>
            <xdr:cNvPr id="7172" name="ListBox1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152400</xdr:colOff>
          <xdr:row>8</xdr:row>
          <xdr:rowOff>76200</xdr:rowOff>
        </xdr:from>
        <xdr:to>
          <xdr:col>14</xdr:col>
          <xdr:colOff>190500</xdr:colOff>
          <xdr:row>11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19050</xdr:colOff>
      <xdr:row>0</xdr:row>
      <xdr:rowOff>1</xdr:rowOff>
    </xdr:from>
    <xdr:to>
      <xdr:col>10</xdr:col>
      <xdr:colOff>1800225</xdr:colOff>
      <xdr:row>10</xdr:row>
      <xdr:rowOff>161925</xdr:rowOff>
    </xdr:to>
    <xdr:pic>
      <xdr:nvPicPr>
        <xdr:cNvPr id="5" name="Image 4" descr="E:\keyce logo.png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00625" y="1"/>
          <a:ext cx="6448425" cy="2085974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381000</xdr:colOff>
          <xdr:row>3</xdr:row>
          <xdr:rowOff>114300</xdr:rowOff>
        </xdr:from>
        <xdr:to>
          <xdr:col>14</xdr:col>
          <xdr:colOff>381000</xdr:colOff>
          <xdr:row>5</xdr:row>
          <xdr:rowOff>152400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 a l'accueil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7</xdr:row>
          <xdr:rowOff>66675</xdr:rowOff>
        </xdr:from>
        <xdr:to>
          <xdr:col>13</xdr:col>
          <xdr:colOff>114300</xdr:colOff>
          <xdr:row>9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9525</xdr:colOff>
      <xdr:row>0</xdr:row>
      <xdr:rowOff>28575</xdr:rowOff>
    </xdr:from>
    <xdr:to>
      <xdr:col>11</xdr:col>
      <xdr:colOff>9525</xdr:colOff>
      <xdr:row>10</xdr:row>
      <xdr:rowOff>190499</xdr:rowOff>
    </xdr:to>
    <xdr:pic>
      <xdr:nvPicPr>
        <xdr:cNvPr id="3" name="Image 2" descr="E:\keyce logo.png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0" y="28575"/>
          <a:ext cx="6553200" cy="2085974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104775</xdr:colOff>
          <xdr:row>2</xdr:row>
          <xdr:rowOff>57150</xdr:rowOff>
        </xdr:from>
        <xdr:to>
          <xdr:col>13</xdr:col>
          <xdr:colOff>695325</xdr:colOff>
          <xdr:row>4</xdr:row>
          <xdr:rowOff>66675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Retour a l'accueil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104775</xdr:colOff>
      <xdr:row>0</xdr:row>
      <xdr:rowOff>0</xdr:rowOff>
    </xdr:from>
    <xdr:to>
      <xdr:col>11</xdr:col>
      <xdr:colOff>38100</xdr:colOff>
      <xdr:row>10</xdr:row>
      <xdr:rowOff>161924</xdr:rowOff>
    </xdr:to>
    <xdr:pic>
      <xdr:nvPicPr>
        <xdr:cNvPr id="2" name="Image 1" descr="E:\keyce logo.png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38650" y="0"/>
          <a:ext cx="5457825" cy="2085974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419100</xdr:colOff>
          <xdr:row>3</xdr:row>
          <xdr:rowOff>76200</xdr:rowOff>
        </xdr:from>
        <xdr:to>
          <xdr:col>14</xdr:col>
          <xdr:colOff>123825</xdr:colOff>
          <xdr:row>5</xdr:row>
          <xdr:rowOff>19050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5" name="Eleve" displayName="Eleve" ref="A1:D1240" totalsRowShown="0">
  <autoFilter ref="A1:D1240"/>
  <tableColumns count="4">
    <tableColumn id="1" name="Matricule"/>
    <tableColumn id="2" name="Nom et prenoms"/>
    <tableColumn id="3" name="Classe"/>
    <tableColumn id="4" name="Sexe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3" name="Matieres" displayName="Matieres" ref="A1:D78" totalsRowShown="0">
  <autoFilter ref="A1:D78"/>
  <tableColumns count="4">
    <tableColumn id="1" name="Matiere"/>
    <tableColumn id="2" name="Crédit"/>
    <tableColumn id="3" name="Nombre de Note"/>
    <tableColumn id="4" name="Class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Note" displayName="Note" ref="A1:F1019" totalsRowShown="0">
  <autoFilter ref="A1:F1019"/>
  <tableColumns count="6">
    <tableColumn id="1" name="Matricule de l'eleve"/>
    <tableColumn id="2" name="Nom et prénom"/>
    <tableColumn id="3" name="Matiere"/>
    <tableColumn id="4" name="Note CC"/>
    <tableColumn id="5" name="Note SN"/>
    <tableColumn id="6" name="Moyenne" dataDxfId="10">
      <calculatedColumnFormula>(Note[[#This Row],[Note CC]]+Note[[#This Row],[Note SN]])/2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2" name="Sexe" displayName="Sexe" ref="C1:C3" totalsRowShown="0">
  <autoFilter ref="C1:C3"/>
  <tableColumns count="1">
    <tableColumn id="1" name="Sexe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1" name="Classe" displayName="Classe" ref="A1:A384" totalsRowShown="0">
  <autoFilter ref="A1:A384"/>
  <tableColumns count="1">
    <tableColumn id="1" name="Cla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0.emf"/><Relationship Id="rId5" Type="http://schemas.openxmlformats.org/officeDocument/2006/relationships/control" Target="../activeX/activeX2.xml"/><Relationship Id="rId4" Type="http://schemas.openxmlformats.org/officeDocument/2006/relationships/image" Target="../media/image9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Accueil">
    <tabColor theme="9" tint="-0.499984740745262"/>
  </sheetPr>
  <dimension ref="A1"/>
  <sheetViews>
    <sheetView topLeftCell="A10" workbookViewId="0">
      <selection activeCell="L24" sqref="L24"/>
    </sheetView>
  </sheetViews>
  <sheetFormatPr baseColWidth="10" defaultRowHeight="15" x14ac:dyDescent="0.25"/>
  <cols>
    <col min="1" max="16384" width="11.42578125" style="2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FestionEleve">
                <anchor moveWithCells="1" sizeWithCells="1">
                  <from>
                    <xdr:col>0</xdr:col>
                    <xdr:colOff>9525</xdr:colOff>
                    <xdr:row>14</xdr:row>
                    <xdr:rowOff>180975</xdr:rowOff>
                  </from>
                  <to>
                    <xdr:col>4</xdr:col>
                    <xdr:colOff>66675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estionMatiere">
                <anchor moveWithCells="1" sizeWithCells="1">
                  <from>
                    <xdr:col>5</xdr:col>
                    <xdr:colOff>0</xdr:colOff>
                    <xdr:row>15</xdr:row>
                    <xdr:rowOff>9525</xdr:rowOff>
                  </from>
                  <to>
                    <xdr:col>9</xdr:col>
                    <xdr:colOff>114300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GestionNote">
                <anchor moveWithCells="1" sizeWithCells="1">
                  <from>
                    <xdr:col>10</xdr:col>
                    <xdr:colOff>9525</xdr:colOff>
                    <xdr:row>14</xdr:row>
                    <xdr:rowOff>180975</xdr:rowOff>
                  </from>
                  <to>
                    <xdr:col>14</xdr:col>
                    <xdr:colOff>95250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GestionBulletin">
                <anchor moveWithCells="1" sizeWithCells="1">
                  <from>
                    <xdr:col>4</xdr:col>
                    <xdr:colOff>0</xdr:colOff>
                    <xdr:row>22</xdr:row>
                    <xdr:rowOff>9525</xdr:rowOff>
                  </from>
                  <to>
                    <xdr:col>10</xdr:col>
                    <xdr:colOff>142875</xdr:colOff>
                    <xdr:row>28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Eleve">
    <tabColor theme="9" tint="0.39997558519241921"/>
  </sheetPr>
  <dimension ref="A1:J1000"/>
  <sheetViews>
    <sheetView showGridLines="0" workbookViewId="0">
      <selection activeCell="E9" sqref="E9"/>
    </sheetView>
  </sheetViews>
  <sheetFormatPr baseColWidth="10" defaultRowHeight="15" x14ac:dyDescent="0.25"/>
  <cols>
    <col min="1" max="1" width="11.7109375" customWidth="1"/>
    <col min="2" max="2" width="23.28515625" customWidth="1"/>
    <col min="3" max="3" width="13.5703125" customWidth="1"/>
    <col min="4" max="4" width="16" customWidth="1"/>
  </cols>
  <sheetData>
    <row r="1" spans="1:10" ht="17.25" x14ac:dyDescent="0.3">
      <c r="A1" t="s">
        <v>0</v>
      </c>
      <c r="B1" t="s">
        <v>57</v>
      </c>
      <c r="C1" t="s">
        <v>1</v>
      </c>
      <c r="D1" t="s">
        <v>3</v>
      </c>
      <c r="G1" s="15" t="s">
        <v>114</v>
      </c>
      <c r="H1" s="15"/>
      <c r="I1" s="15"/>
      <c r="J1" s="15"/>
    </row>
    <row r="2" spans="1:10" x14ac:dyDescent="0.25">
      <c r="A2" t="s">
        <v>58</v>
      </c>
      <c r="B2" s="1" t="s">
        <v>59</v>
      </c>
      <c r="C2" t="s">
        <v>7</v>
      </c>
      <c r="D2" t="s">
        <v>4</v>
      </c>
      <c r="G2" s="13"/>
      <c r="H2" s="13"/>
      <c r="I2" s="13"/>
      <c r="J2" s="13"/>
    </row>
    <row r="3" spans="1:10" x14ac:dyDescent="0.25">
      <c r="A3" t="s">
        <v>60</v>
      </c>
      <c r="B3" s="1" t="s">
        <v>61</v>
      </c>
      <c r="C3" t="s">
        <v>7</v>
      </c>
      <c r="D3" t="s">
        <v>4</v>
      </c>
      <c r="G3" s="13"/>
      <c r="H3" s="13"/>
      <c r="I3" s="13"/>
      <c r="J3" s="13"/>
    </row>
    <row r="4" spans="1:10" x14ac:dyDescent="0.25">
      <c r="A4" t="s">
        <v>62</v>
      </c>
      <c r="B4" s="1" t="s">
        <v>63</v>
      </c>
      <c r="C4" t="s">
        <v>7</v>
      </c>
      <c r="D4" t="s">
        <v>5</v>
      </c>
      <c r="G4" s="13"/>
      <c r="H4" s="13"/>
      <c r="I4" s="13"/>
      <c r="J4" s="13"/>
    </row>
    <row r="5" spans="1:10" ht="15.75" x14ac:dyDescent="0.25">
      <c r="A5" t="s">
        <v>64</v>
      </c>
      <c r="B5" s="1" t="s">
        <v>65</v>
      </c>
      <c r="C5" t="s">
        <v>7</v>
      </c>
      <c r="D5" t="s">
        <v>4</v>
      </c>
      <c r="G5" s="16" t="s">
        <v>115</v>
      </c>
      <c r="H5" s="16"/>
      <c r="I5" s="16"/>
      <c r="J5" s="16"/>
    </row>
    <row r="6" spans="1:10" x14ac:dyDescent="0.25">
      <c r="A6" t="s">
        <v>66</v>
      </c>
      <c r="B6" s="1" t="s">
        <v>67</v>
      </c>
      <c r="C6" t="s">
        <v>7</v>
      </c>
      <c r="D6" t="s">
        <v>5</v>
      </c>
      <c r="G6" s="14"/>
      <c r="H6" s="14"/>
      <c r="I6" s="14"/>
      <c r="J6" s="14"/>
    </row>
    <row r="7" spans="1:10" x14ac:dyDescent="0.25">
      <c r="A7" t="s">
        <v>68</v>
      </c>
      <c r="B7" s="1" t="s">
        <v>69</v>
      </c>
      <c r="C7" t="s">
        <v>7</v>
      </c>
      <c r="D7" t="s">
        <v>4</v>
      </c>
      <c r="G7" s="14"/>
      <c r="H7" s="14"/>
      <c r="I7" s="14"/>
      <c r="J7" s="14"/>
    </row>
    <row r="8" spans="1:10" x14ac:dyDescent="0.25">
      <c r="A8" t="s">
        <v>70</v>
      </c>
      <c r="B8" s="1" t="s">
        <v>71</v>
      </c>
      <c r="C8" t="s">
        <v>7</v>
      </c>
      <c r="D8" t="s">
        <v>4</v>
      </c>
      <c r="G8" s="14"/>
      <c r="H8" s="14"/>
      <c r="I8" s="14"/>
      <c r="J8" s="14"/>
    </row>
    <row r="9" spans="1:10" x14ac:dyDescent="0.25">
      <c r="A9" t="s">
        <v>82</v>
      </c>
      <c r="B9" s="1" t="s">
        <v>83</v>
      </c>
      <c r="C9" t="s">
        <v>7</v>
      </c>
      <c r="D9" t="s">
        <v>4</v>
      </c>
      <c r="G9" s="14"/>
      <c r="H9" s="14"/>
      <c r="I9" s="14"/>
      <c r="J9" s="14"/>
    </row>
    <row r="10" spans="1:10" x14ac:dyDescent="0.25">
      <c r="A10" t="s">
        <v>84</v>
      </c>
      <c r="B10" s="1" t="s">
        <v>85</v>
      </c>
      <c r="C10" t="s">
        <v>7</v>
      </c>
      <c r="D10" t="s">
        <v>5</v>
      </c>
      <c r="G10" s="14"/>
      <c r="H10" s="14"/>
      <c r="I10" s="14"/>
      <c r="J10" s="14"/>
    </row>
    <row r="11" spans="1:10" x14ac:dyDescent="0.25">
      <c r="A11" t="s">
        <v>86</v>
      </c>
      <c r="B11" s="1" t="s">
        <v>87</v>
      </c>
      <c r="C11" t="s">
        <v>7</v>
      </c>
      <c r="D11" t="s">
        <v>4</v>
      </c>
      <c r="G11" s="14"/>
      <c r="H11" s="14"/>
      <c r="I11" s="14"/>
      <c r="J11" s="14"/>
    </row>
    <row r="12" spans="1:10" x14ac:dyDescent="0.25">
      <c r="A12" t="s">
        <v>88</v>
      </c>
      <c r="B12" s="1" t="s">
        <v>89</v>
      </c>
      <c r="C12" t="s">
        <v>7</v>
      </c>
      <c r="D12" t="s">
        <v>5</v>
      </c>
      <c r="G12" s="14"/>
      <c r="H12" s="14"/>
      <c r="I12" s="14"/>
      <c r="J12" s="14"/>
    </row>
    <row r="13" spans="1:10" x14ac:dyDescent="0.25">
      <c r="A13" t="s">
        <v>112</v>
      </c>
      <c r="B13" s="1" t="s">
        <v>96</v>
      </c>
      <c r="C13" t="s">
        <v>8</v>
      </c>
      <c r="D13" t="s">
        <v>4</v>
      </c>
      <c r="G13" s="14"/>
      <c r="H13" s="14"/>
      <c r="I13" s="14"/>
      <c r="J13" s="14"/>
    </row>
    <row r="14" spans="1:10" x14ac:dyDescent="0.25">
      <c r="A14" t="s">
        <v>113</v>
      </c>
      <c r="B14" s="1" t="s">
        <v>111</v>
      </c>
      <c r="C14" t="s">
        <v>9</v>
      </c>
      <c r="D14" t="s">
        <v>4</v>
      </c>
      <c r="G14" s="14"/>
      <c r="H14" s="14"/>
      <c r="I14" s="14"/>
      <c r="J14" s="14"/>
    </row>
    <row r="15" spans="1:10" x14ac:dyDescent="0.25">
      <c r="B15" s="1"/>
      <c r="G15" s="14"/>
      <c r="H15" s="14"/>
      <c r="I15" s="14"/>
      <c r="J15" s="14"/>
    </row>
    <row r="16" spans="1:10" x14ac:dyDescent="0.25">
      <c r="B16" s="1"/>
    </row>
    <row r="17" spans="2:2" x14ac:dyDescent="0.25">
      <c r="B17" s="1"/>
    </row>
    <row r="18" spans="2:2" x14ac:dyDescent="0.25">
      <c r="B18" s="1"/>
    </row>
    <row r="19" spans="2:2" x14ac:dyDescent="0.25">
      <c r="B19" s="1"/>
    </row>
    <row r="20" spans="2:2" x14ac:dyDescent="0.25">
      <c r="B20" s="1"/>
    </row>
    <row r="21" spans="2:2" x14ac:dyDescent="0.25">
      <c r="B21" s="1"/>
    </row>
    <row r="22" spans="2:2" x14ac:dyDescent="0.25">
      <c r="B22" s="1"/>
    </row>
    <row r="23" spans="2:2" x14ac:dyDescent="0.25">
      <c r="B23" s="1"/>
    </row>
    <row r="24" spans="2:2" x14ac:dyDescent="0.25">
      <c r="B24" s="1"/>
    </row>
    <row r="25" spans="2:2" x14ac:dyDescent="0.25">
      <c r="B25" s="1"/>
    </row>
    <row r="26" spans="2:2" x14ac:dyDescent="0.25">
      <c r="B26" s="1"/>
    </row>
    <row r="27" spans="2:2" x14ac:dyDescent="0.25">
      <c r="B27" s="1"/>
    </row>
    <row r="28" spans="2:2" x14ac:dyDescent="0.25">
      <c r="B28" s="1"/>
    </row>
    <row r="29" spans="2:2" x14ac:dyDescent="0.25">
      <c r="B29" s="1"/>
    </row>
    <row r="30" spans="2:2" x14ac:dyDescent="0.25">
      <c r="B30" s="1"/>
    </row>
    <row r="31" spans="2:2" x14ac:dyDescent="0.25">
      <c r="B31" s="1"/>
    </row>
    <row r="32" spans="2:2" x14ac:dyDescent="0.25">
      <c r="B32" s="1"/>
    </row>
    <row r="33" spans="2:2" x14ac:dyDescent="0.25">
      <c r="B33" s="1"/>
    </row>
    <row r="34" spans="2:2" x14ac:dyDescent="0.25">
      <c r="B34" s="1"/>
    </row>
    <row r="35" spans="2:2" x14ac:dyDescent="0.25">
      <c r="B35" s="1"/>
    </row>
    <row r="36" spans="2:2" x14ac:dyDescent="0.25">
      <c r="B36" s="1"/>
    </row>
    <row r="37" spans="2:2" x14ac:dyDescent="0.25">
      <c r="B37" s="1"/>
    </row>
    <row r="38" spans="2:2" x14ac:dyDescent="0.25">
      <c r="B38" s="1"/>
    </row>
    <row r="39" spans="2:2" x14ac:dyDescent="0.25">
      <c r="B39" s="1"/>
    </row>
    <row r="40" spans="2:2" x14ac:dyDescent="0.25">
      <c r="B40" s="1"/>
    </row>
    <row r="41" spans="2:2" x14ac:dyDescent="0.25">
      <c r="B41" s="1"/>
    </row>
    <row r="42" spans="2:2" x14ac:dyDescent="0.25">
      <c r="B42" s="1"/>
    </row>
    <row r="43" spans="2:2" x14ac:dyDescent="0.25">
      <c r="B43" s="1"/>
    </row>
    <row r="44" spans="2:2" x14ac:dyDescent="0.25">
      <c r="B44" s="1"/>
    </row>
    <row r="45" spans="2:2" x14ac:dyDescent="0.25">
      <c r="B45" s="1"/>
    </row>
    <row r="46" spans="2:2" x14ac:dyDescent="0.25">
      <c r="B46" s="1"/>
    </row>
    <row r="47" spans="2:2" x14ac:dyDescent="0.25">
      <c r="B47" s="1"/>
    </row>
    <row r="48" spans="2:2" x14ac:dyDescent="0.25">
      <c r="B48" s="1"/>
    </row>
    <row r="49" spans="2:2" x14ac:dyDescent="0.25">
      <c r="B49" s="1"/>
    </row>
    <row r="50" spans="2:2" x14ac:dyDescent="0.25">
      <c r="B50" s="1"/>
    </row>
    <row r="51" spans="2:2" x14ac:dyDescent="0.25">
      <c r="B51" s="1"/>
    </row>
    <row r="52" spans="2:2" x14ac:dyDescent="0.25">
      <c r="B52" s="1"/>
    </row>
    <row r="53" spans="2:2" x14ac:dyDescent="0.25">
      <c r="B53" s="1"/>
    </row>
    <row r="54" spans="2:2" x14ac:dyDescent="0.25">
      <c r="B54" s="1"/>
    </row>
    <row r="55" spans="2:2" x14ac:dyDescent="0.25">
      <c r="B55" s="1"/>
    </row>
    <row r="56" spans="2:2" x14ac:dyDescent="0.25">
      <c r="B56" s="1"/>
    </row>
    <row r="57" spans="2:2" x14ac:dyDescent="0.25">
      <c r="B57" s="1"/>
    </row>
    <row r="58" spans="2:2" x14ac:dyDescent="0.25">
      <c r="B58" s="1"/>
    </row>
    <row r="59" spans="2:2" x14ac:dyDescent="0.25">
      <c r="B59" s="1"/>
    </row>
    <row r="60" spans="2:2" x14ac:dyDescent="0.25">
      <c r="B60" s="1"/>
    </row>
    <row r="61" spans="2:2" x14ac:dyDescent="0.25">
      <c r="B61" s="1"/>
    </row>
    <row r="62" spans="2:2" x14ac:dyDescent="0.25">
      <c r="B62" s="1"/>
    </row>
    <row r="63" spans="2:2" x14ac:dyDescent="0.25">
      <c r="B63" s="1"/>
    </row>
    <row r="64" spans="2:2" x14ac:dyDescent="0.25">
      <c r="B64" s="1"/>
    </row>
    <row r="65" spans="2:2" x14ac:dyDescent="0.25">
      <c r="B65" s="1"/>
    </row>
    <row r="66" spans="2:2" x14ac:dyDescent="0.25">
      <c r="B66" s="1"/>
    </row>
    <row r="67" spans="2:2" x14ac:dyDescent="0.25">
      <c r="B67" s="1"/>
    </row>
    <row r="68" spans="2:2" x14ac:dyDescent="0.25">
      <c r="B68" s="1"/>
    </row>
    <row r="69" spans="2:2" x14ac:dyDescent="0.25">
      <c r="B69" s="1"/>
    </row>
    <row r="70" spans="2:2" x14ac:dyDescent="0.25">
      <c r="B70" s="1"/>
    </row>
    <row r="71" spans="2:2" x14ac:dyDescent="0.25">
      <c r="B71" s="1"/>
    </row>
    <row r="72" spans="2:2" x14ac:dyDescent="0.25">
      <c r="B72" s="1"/>
    </row>
    <row r="73" spans="2:2" x14ac:dyDescent="0.25">
      <c r="B73" s="1"/>
    </row>
    <row r="74" spans="2:2" x14ac:dyDescent="0.25">
      <c r="B74" s="1"/>
    </row>
    <row r="75" spans="2:2" x14ac:dyDescent="0.25">
      <c r="B75" s="1"/>
    </row>
    <row r="76" spans="2:2" x14ac:dyDescent="0.25">
      <c r="B76" s="1"/>
    </row>
    <row r="77" spans="2:2" x14ac:dyDescent="0.25">
      <c r="B77" s="1"/>
    </row>
    <row r="78" spans="2:2" x14ac:dyDescent="0.25">
      <c r="B78" s="1"/>
    </row>
    <row r="79" spans="2:2" x14ac:dyDescent="0.25">
      <c r="B79" s="1"/>
    </row>
    <row r="80" spans="2:2" x14ac:dyDescent="0.25">
      <c r="B80" s="1"/>
    </row>
    <row r="81" spans="2:2" x14ac:dyDescent="0.25">
      <c r="B81" s="1"/>
    </row>
    <row r="82" spans="2:2" x14ac:dyDescent="0.25">
      <c r="B82" s="1"/>
    </row>
    <row r="83" spans="2:2" x14ac:dyDescent="0.25">
      <c r="B83" s="1"/>
    </row>
    <row r="84" spans="2:2" x14ac:dyDescent="0.25">
      <c r="B84" s="1"/>
    </row>
    <row r="85" spans="2:2" x14ac:dyDescent="0.25">
      <c r="B85" s="1"/>
    </row>
    <row r="86" spans="2:2" x14ac:dyDescent="0.25">
      <c r="B86" s="1"/>
    </row>
    <row r="87" spans="2:2" x14ac:dyDescent="0.25">
      <c r="B87" s="1"/>
    </row>
    <row r="88" spans="2:2" x14ac:dyDescent="0.25">
      <c r="B88" s="1"/>
    </row>
    <row r="89" spans="2:2" x14ac:dyDescent="0.25">
      <c r="B89" s="1"/>
    </row>
    <row r="90" spans="2:2" x14ac:dyDescent="0.25">
      <c r="B90" s="1"/>
    </row>
    <row r="91" spans="2:2" x14ac:dyDescent="0.25">
      <c r="B91" s="1"/>
    </row>
    <row r="92" spans="2:2" x14ac:dyDescent="0.25">
      <c r="B92" s="1"/>
    </row>
    <row r="93" spans="2:2" x14ac:dyDescent="0.25">
      <c r="B93" s="1"/>
    </row>
    <row r="94" spans="2:2" x14ac:dyDescent="0.25">
      <c r="B94" s="1"/>
    </row>
    <row r="95" spans="2:2" x14ac:dyDescent="0.25">
      <c r="B95" s="1"/>
    </row>
    <row r="96" spans="2:2" x14ac:dyDescent="0.25">
      <c r="B96" s="1"/>
    </row>
    <row r="97" spans="2:2" x14ac:dyDescent="0.25">
      <c r="B97" s="1"/>
    </row>
    <row r="98" spans="2:2" x14ac:dyDescent="0.25">
      <c r="B98" s="1"/>
    </row>
    <row r="99" spans="2:2" x14ac:dyDescent="0.25">
      <c r="B99" s="1"/>
    </row>
    <row r="100" spans="2:2" x14ac:dyDescent="0.25">
      <c r="B100" s="1"/>
    </row>
    <row r="101" spans="2:2" x14ac:dyDescent="0.25">
      <c r="B101" s="1"/>
    </row>
    <row r="102" spans="2:2" x14ac:dyDescent="0.25">
      <c r="B102" s="1"/>
    </row>
    <row r="103" spans="2:2" x14ac:dyDescent="0.25">
      <c r="B103" s="1"/>
    </row>
    <row r="104" spans="2:2" x14ac:dyDescent="0.25">
      <c r="B104" s="1"/>
    </row>
    <row r="105" spans="2:2" x14ac:dyDescent="0.25">
      <c r="B105" s="1"/>
    </row>
    <row r="106" spans="2:2" x14ac:dyDescent="0.25">
      <c r="B106" s="1"/>
    </row>
    <row r="107" spans="2:2" x14ac:dyDescent="0.25">
      <c r="B107" s="1"/>
    </row>
    <row r="108" spans="2:2" x14ac:dyDescent="0.25">
      <c r="B108" s="1"/>
    </row>
    <row r="109" spans="2:2" x14ac:dyDescent="0.25">
      <c r="B109" s="1"/>
    </row>
    <row r="110" spans="2:2" x14ac:dyDescent="0.25">
      <c r="B110" s="1"/>
    </row>
    <row r="111" spans="2:2" x14ac:dyDescent="0.25">
      <c r="B111" s="1"/>
    </row>
    <row r="112" spans="2:2" x14ac:dyDescent="0.25">
      <c r="B112" s="1"/>
    </row>
    <row r="113" spans="2:2" x14ac:dyDescent="0.25">
      <c r="B113" s="1"/>
    </row>
    <row r="114" spans="2:2" x14ac:dyDescent="0.25">
      <c r="B114" s="1"/>
    </row>
    <row r="115" spans="2:2" x14ac:dyDescent="0.25">
      <c r="B115" s="1"/>
    </row>
    <row r="116" spans="2:2" x14ac:dyDescent="0.25">
      <c r="B116" s="1"/>
    </row>
    <row r="117" spans="2:2" x14ac:dyDescent="0.25">
      <c r="B117" s="1"/>
    </row>
    <row r="118" spans="2:2" x14ac:dyDescent="0.25">
      <c r="B118" s="1"/>
    </row>
    <row r="119" spans="2:2" x14ac:dyDescent="0.25">
      <c r="B119" s="1"/>
    </row>
    <row r="120" spans="2:2" x14ac:dyDescent="0.25">
      <c r="B120" s="1"/>
    </row>
    <row r="121" spans="2:2" x14ac:dyDescent="0.25">
      <c r="B121" s="1"/>
    </row>
    <row r="122" spans="2:2" x14ac:dyDescent="0.25">
      <c r="B122" s="1"/>
    </row>
    <row r="123" spans="2:2" x14ac:dyDescent="0.25">
      <c r="B123" s="1"/>
    </row>
    <row r="124" spans="2:2" x14ac:dyDescent="0.25">
      <c r="B124" s="1"/>
    </row>
    <row r="125" spans="2:2" x14ac:dyDescent="0.25">
      <c r="B125" s="1"/>
    </row>
    <row r="126" spans="2:2" x14ac:dyDescent="0.25">
      <c r="B126" s="1"/>
    </row>
    <row r="127" spans="2:2" x14ac:dyDescent="0.25">
      <c r="B127" s="1"/>
    </row>
    <row r="128" spans="2:2" x14ac:dyDescent="0.25">
      <c r="B128" s="1"/>
    </row>
    <row r="129" spans="2:2" x14ac:dyDescent="0.25">
      <c r="B129" s="1"/>
    </row>
    <row r="130" spans="2:2" x14ac:dyDescent="0.25">
      <c r="B130" s="1"/>
    </row>
    <row r="131" spans="2:2" x14ac:dyDescent="0.25">
      <c r="B131" s="1"/>
    </row>
    <row r="132" spans="2:2" x14ac:dyDescent="0.25">
      <c r="B132" s="1"/>
    </row>
    <row r="133" spans="2:2" x14ac:dyDescent="0.25">
      <c r="B133" s="1"/>
    </row>
    <row r="134" spans="2:2" x14ac:dyDescent="0.25">
      <c r="B134" s="1"/>
    </row>
    <row r="135" spans="2:2" x14ac:dyDescent="0.25">
      <c r="B135" s="1"/>
    </row>
    <row r="136" spans="2:2" x14ac:dyDescent="0.25">
      <c r="B136" s="1"/>
    </row>
    <row r="137" spans="2:2" x14ac:dyDescent="0.25">
      <c r="B137" s="1"/>
    </row>
    <row r="138" spans="2:2" x14ac:dyDescent="0.25">
      <c r="B138" s="1"/>
    </row>
    <row r="139" spans="2:2" x14ac:dyDescent="0.25">
      <c r="B139" s="1"/>
    </row>
    <row r="140" spans="2:2" x14ac:dyDescent="0.25">
      <c r="B140" s="1"/>
    </row>
    <row r="141" spans="2:2" x14ac:dyDescent="0.25">
      <c r="B141" s="1"/>
    </row>
    <row r="142" spans="2:2" x14ac:dyDescent="0.25">
      <c r="B142" s="1"/>
    </row>
    <row r="143" spans="2:2" x14ac:dyDescent="0.25">
      <c r="B143" s="1"/>
    </row>
    <row r="144" spans="2:2" x14ac:dyDescent="0.25">
      <c r="B144" s="1"/>
    </row>
    <row r="145" spans="2:2" x14ac:dyDescent="0.25">
      <c r="B145" s="1"/>
    </row>
    <row r="146" spans="2:2" x14ac:dyDescent="0.25">
      <c r="B146" s="1"/>
    </row>
    <row r="147" spans="2:2" x14ac:dyDescent="0.25">
      <c r="B147" s="1"/>
    </row>
    <row r="148" spans="2:2" x14ac:dyDescent="0.25">
      <c r="B148" s="1"/>
    </row>
    <row r="149" spans="2:2" x14ac:dyDescent="0.25">
      <c r="B149" s="1"/>
    </row>
    <row r="150" spans="2:2" x14ac:dyDescent="0.25">
      <c r="B150" s="1"/>
    </row>
    <row r="151" spans="2:2" x14ac:dyDescent="0.25">
      <c r="B151" s="1"/>
    </row>
    <row r="152" spans="2:2" x14ac:dyDescent="0.25">
      <c r="B152" s="1"/>
    </row>
    <row r="153" spans="2:2" x14ac:dyDescent="0.25">
      <c r="B153" s="1"/>
    </row>
    <row r="154" spans="2:2" x14ac:dyDescent="0.25">
      <c r="B154" s="1"/>
    </row>
    <row r="155" spans="2:2" x14ac:dyDescent="0.25">
      <c r="B155" s="1"/>
    </row>
    <row r="156" spans="2:2" x14ac:dyDescent="0.25">
      <c r="B156" s="1"/>
    </row>
    <row r="157" spans="2:2" x14ac:dyDescent="0.25">
      <c r="B157" s="1"/>
    </row>
    <row r="158" spans="2:2" x14ac:dyDescent="0.25">
      <c r="B158" s="1"/>
    </row>
    <row r="159" spans="2:2" x14ac:dyDescent="0.25">
      <c r="B159" s="1"/>
    </row>
    <row r="160" spans="2:2" x14ac:dyDescent="0.25">
      <c r="B160" s="1"/>
    </row>
    <row r="161" spans="2:2" x14ac:dyDescent="0.25">
      <c r="B161" s="1"/>
    </row>
    <row r="162" spans="2:2" x14ac:dyDescent="0.25">
      <c r="B162" s="1"/>
    </row>
    <row r="163" spans="2:2" x14ac:dyDescent="0.25">
      <c r="B163" s="1"/>
    </row>
    <row r="164" spans="2:2" x14ac:dyDescent="0.25">
      <c r="B164" s="1"/>
    </row>
    <row r="165" spans="2:2" x14ac:dyDescent="0.25">
      <c r="B165" s="1"/>
    </row>
    <row r="166" spans="2:2" x14ac:dyDescent="0.25">
      <c r="B166" s="1"/>
    </row>
    <row r="167" spans="2:2" x14ac:dyDescent="0.25">
      <c r="B167" s="1"/>
    </row>
    <row r="168" spans="2:2" x14ac:dyDescent="0.25">
      <c r="B168" s="1"/>
    </row>
    <row r="169" spans="2:2" x14ac:dyDescent="0.25">
      <c r="B169" s="1"/>
    </row>
    <row r="170" spans="2:2" x14ac:dyDescent="0.25">
      <c r="B170" s="1"/>
    </row>
    <row r="171" spans="2:2" x14ac:dyDescent="0.25">
      <c r="B171" s="1"/>
    </row>
    <row r="172" spans="2:2" x14ac:dyDescent="0.25">
      <c r="B172" s="1"/>
    </row>
    <row r="173" spans="2:2" x14ac:dyDescent="0.25">
      <c r="B173" s="1"/>
    </row>
    <row r="174" spans="2:2" x14ac:dyDescent="0.25">
      <c r="B174" s="1"/>
    </row>
    <row r="175" spans="2:2" x14ac:dyDescent="0.25">
      <c r="B175" s="1"/>
    </row>
    <row r="176" spans="2:2" x14ac:dyDescent="0.25">
      <c r="B176" s="1"/>
    </row>
    <row r="177" spans="2:2" x14ac:dyDescent="0.25">
      <c r="B177" s="1"/>
    </row>
    <row r="178" spans="2:2" x14ac:dyDescent="0.25">
      <c r="B178" s="1"/>
    </row>
    <row r="179" spans="2:2" x14ac:dyDescent="0.25">
      <c r="B179" s="1"/>
    </row>
    <row r="180" spans="2:2" x14ac:dyDescent="0.25">
      <c r="B180" s="1"/>
    </row>
    <row r="181" spans="2:2" x14ac:dyDescent="0.25">
      <c r="B181" s="1"/>
    </row>
    <row r="182" spans="2:2" x14ac:dyDescent="0.25">
      <c r="B182" s="1"/>
    </row>
    <row r="183" spans="2:2" x14ac:dyDescent="0.25">
      <c r="B183" s="1"/>
    </row>
    <row r="184" spans="2:2" x14ac:dyDescent="0.25">
      <c r="B184" s="1"/>
    </row>
    <row r="185" spans="2:2" x14ac:dyDescent="0.25">
      <c r="B185" s="1"/>
    </row>
    <row r="186" spans="2:2" x14ac:dyDescent="0.25">
      <c r="B186" s="1"/>
    </row>
    <row r="187" spans="2:2" x14ac:dyDescent="0.25">
      <c r="B187" s="1"/>
    </row>
    <row r="188" spans="2:2" x14ac:dyDescent="0.25">
      <c r="B188" s="1"/>
    </row>
    <row r="189" spans="2:2" x14ac:dyDescent="0.25">
      <c r="B189" s="1"/>
    </row>
    <row r="190" spans="2:2" x14ac:dyDescent="0.25">
      <c r="B190" s="1"/>
    </row>
    <row r="191" spans="2:2" x14ac:dyDescent="0.25">
      <c r="B191" s="1"/>
    </row>
    <row r="192" spans="2:2" x14ac:dyDescent="0.25">
      <c r="B192" s="1"/>
    </row>
    <row r="193" spans="2:2" x14ac:dyDescent="0.25">
      <c r="B193" s="1"/>
    </row>
    <row r="194" spans="2:2" x14ac:dyDescent="0.25">
      <c r="B194" s="1"/>
    </row>
    <row r="195" spans="2:2" x14ac:dyDescent="0.25">
      <c r="B195" s="1"/>
    </row>
    <row r="196" spans="2:2" x14ac:dyDescent="0.25">
      <c r="B196" s="1"/>
    </row>
    <row r="197" spans="2:2" x14ac:dyDescent="0.25">
      <c r="B197" s="1"/>
    </row>
    <row r="198" spans="2:2" x14ac:dyDescent="0.25">
      <c r="B198" s="1"/>
    </row>
    <row r="199" spans="2:2" x14ac:dyDescent="0.25">
      <c r="B199" s="1"/>
    </row>
    <row r="200" spans="2:2" x14ac:dyDescent="0.25">
      <c r="B200" s="1"/>
    </row>
    <row r="201" spans="2:2" x14ac:dyDescent="0.25">
      <c r="B201" s="1"/>
    </row>
    <row r="202" spans="2:2" x14ac:dyDescent="0.25">
      <c r="B202" s="1"/>
    </row>
    <row r="203" spans="2:2" x14ac:dyDescent="0.25">
      <c r="B203" s="1"/>
    </row>
    <row r="204" spans="2:2" x14ac:dyDescent="0.25">
      <c r="B204" s="1"/>
    </row>
    <row r="205" spans="2:2" x14ac:dyDescent="0.25">
      <c r="B205" s="1"/>
    </row>
    <row r="206" spans="2:2" x14ac:dyDescent="0.25">
      <c r="B206" s="1"/>
    </row>
    <row r="207" spans="2:2" x14ac:dyDescent="0.25">
      <c r="B207" s="1"/>
    </row>
    <row r="208" spans="2:2" x14ac:dyDescent="0.25">
      <c r="B208" s="1"/>
    </row>
    <row r="209" spans="2:2" x14ac:dyDescent="0.25">
      <c r="B209" s="1"/>
    </row>
    <row r="210" spans="2:2" x14ac:dyDescent="0.25">
      <c r="B210" s="1"/>
    </row>
    <row r="211" spans="2:2" x14ac:dyDescent="0.25">
      <c r="B211" s="1"/>
    </row>
    <row r="212" spans="2:2" x14ac:dyDescent="0.25">
      <c r="B212" s="1"/>
    </row>
    <row r="213" spans="2:2" x14ac:dyDescent="0.25">
      <c r="B213" s="1"/>
    </row>
    <row r="214" spans="2:2" x14ac:dyDescent="0.25">
      <c r="B214" s="1"/>
    </row>
    <row r="215" spans="2:2" x14ac:dyDescent="0.25">
      <c r="B215" s="1"/>
    </row>
    <row r="216" spans="2:2" x14ac:dyDescent="0.25">
      <c r="B216" s="1"/>
    </row>
    <row r="217" spans="2:2" x14ac:dyDescent="0.25">
      <c r="B217" s="1"/>
    </row>
    <row r="218" spans="2:2" x14ac:dyDescent="0.25">
      <c r="B218" s="1"/>
    </row>
    <row r="219" spans="2:2" x14ac:dyDescent="0.25">
      <c r="B219" s="1"/>
    </row>
    <row r="220" spans="2:2" x14ac:dyDescent="0.25">
      <c r="B220" s="1"/>
    </row>
    <row r="221" spans="2:2" x14ac:dyDescent="0.25">
      <c r="B221" s="1"/>
    </row>
    <row r="222" spans="2:2" x14ac:dyDescent="0.25">
      <c r="B222" s="1"/>
    </row>
    <row r="223" spans="2:2" x14ac:dyDescent="0.25">
      <c r="B223" s="1"/>
    </row>
    <row r="224" spans="2:2" x14ac:dyDescent="0.25">
      <c r="B224" s="1"/>
    </row>
    <row r="225" spans="2:2" x14ac:dyDescent="0.25">
      <c r="B225" s="1"/>
    </row>
    <row r="226" spans="2:2" x14ac:dyDescent="0.25">
      <c r="B226" s="1"/>
    </row>
    <row r="227" spans="2:2" x14ac:dyDescent="0.25">
      <c r="B227" s="1"/>
    </row>
    <row r="228" spans="2:2" x14ac:dyDescent="0.25">
      <c r="B228" s="1"/>
    </row>
    <row r="229" spans="2:2" x14ac:dyDescent="0.25">
      <c r="B229" s="1"/>
    </row>
    <row r="230" spans="2:2" x14ac:dyDescent="0.25">
      <c r="B230" s="1"/>
    </row>
    <row r="231" spans="2:2" x14ac:dyDescent="0.25">
      <c r="B231" s="1"/>
    </row>
    <row r="232" spans="2:2" x14ac:dyDescent="0.25">
      <c r="B232" s="1"/>
    </row>
    <row r="233" spans="2:2" x14ac:dyDescent="0.25">
      <c r="B233" s="1"/>
    </row>
    <row r="234" spans="2:2" x14ac:dyDescent="0.25">
      <c r="B234" s="1"/>
    </row>
    <row r="235" spans="2:2" x14ac:dyDescent="0.25">
      <c r="B235" s="1"/>
    </row>
    <row r="236" spans="2:2" x14ac:dyDescent="0.25">
      <c r="B236" s="1"/>
    </row>
    <row r="237" spans="2:2" x14ac:dyDescent="0.25">
      <c r="B237" s="1"/>
    </row>
    <row r="238" spans="2:2" x14ac:dyDescent="0.25">
      <c r="B238" s="1"/>
    </row>
    <row r="239" spans="2:2" x14ac:dyDescent="0.25">
      <c r="B239" s="1"/>
    </row>
    <row r="240" spans="2:2" x14ac:dyDescent="0.25">
      <c r="B240" s="1"/>
    </row>
    <row r="241" spans="2:2" x14ac:dyDescent="0.25">
      <c r="B241" s="1"/>
    </row>
    <row r="242" spans="2:2" x14ac:dyDescent="0.25">
      <c r="B242" s="1"/>
    </row>
    <row r="243" spans="2:2" x14ac:dyDescent="0.25">
      <c r="B243" s="1"/>
    </row>
    <row r="244" spans="2:2" x14ac:dyDescent="0.25">
      <c r="B244" s="1"/>
    </row>
    <row r="245" spans="2:2" x14ac:dyDescent="0.25">
      <c r="B245" s="1"/>
    </row>
    <row r="246" spans="2:2" x14ac:dyDescent="0.25">
      <c r="B246" s="1"/>
    </row>
    <row r="247" spans="2:2" x14ac:dyDescent="0.25">
      <c r="B247" s="1"/>
    </row>
    <row r="248" spans="2:2" x14ac:dyDescent="0.25">
      <c r="B248" s="1"/>
    </row>
    <row r="249" spans="2:2" x14ac:dyDescent="0.25">
      <c r="B249" s="1"/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59" spans="2:2" x14ac:dyDescent="0.25">
      <c r="B259" s="1"/>
    </row>
    <row r="260" spans="2:2" x14ac:dyDescent="0.25">
      <c r="B260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7" spans="2:2" x14ac:dyDescent="0.25">
      <c r="B277" s="1"/>
    </row>
    <row r="278" spans="2:2" x14ac:dyDescent="0.25">
      <c r="B278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  <row r="290" spans="2:2" x14ac:dyDescent="0.25">
      <c r="B290" s="1"/>
    </row>
    <row r="291" spans="2:2" x14ac:dyDescent="0.25">
      <c r="B291" s="1"/>
    </row>
    <row r="292" spans="2:2" x14ac:dyDescent="0.25">
      <c r="B292" s="1"/>
    </row>
    <row r="293" spans="2:2" x14ac:dyDescent="0.25">
      <c r="B293" s="1"/>
    </row>
    <row r="294" spans="2:2" x14ac:dyDescent="0.25">
      <c r="B294" s="1"/>
    </row>
    <row r="295" spans="2:2" x14ac:dyDescent="0.25">
      <c r="B295" s="1"/>
    </row>
    <row r="296" spans="2:2" x14ac:dyDescent="0.25">
      <c r="B296" s="1"/>
    </row>
    <row r="297" spans="2:2" x14ac:dyDescent="0.25">
      <c r="B297" s="1"/>
    </row>
    <row r="298" spans="2:2" x14ac:dyDescent="0.25">
      <c r="B298" s="1"/>
    </row>
    <row r="299" spans="2:2" x14ac:dyDescent="0.25">
      <c r="B299" s="1"/>
    </row>
    <row r="300" spans="2:2" x14ac:dyDescent="0.25">
      <c r="B300" s="1"/>
    </row>
    <row r="301" spans="2:2" x14ac:dyDescent="0.25">
      <c r="B301" s="1"/>
    </row>
    <row r="302" spans="2:2" x14ac:dyDescent="0.25">
      <c r="B302" s="1"/>
    </row>
    <row r="303" spans="2:2" x14ac:dyDescent="0.25">
      <c r="B303" s="1"/>
    </row>
    <row r="304" spans="2:2" x14ac:dyDescent="0.25">
      <c r="B304" s="1"/>
    </row>
    <row r="305" spans="2:2" x14ac:dyDescent="0.25">
      <c r="B305" s="1"/>
    </row>
    <row r="306" spans="2:2" x14ac:dyDescent="0.25">
      <c r="B306" s="1"/>
    </row>
    <row r="307" spans="2:2" x14ac:dyDescent="0.25">
      <c r="B307" s="1"/>
    </row>
    <row r="308" spans="2:2" x14ac:dyDescent="0.25">
      <c r="B308" s="1"/>
    </row>
    <row r="309" spans="2:2" x14ac:dyDescent="0.25">
      <c r="B309" s="1"/>
    </row>
    <row r="310" spans="2:2" x14ac:dyDescent="0.25">
      <c r="B310" s="1"/>
    </row>
    <row r="311" spans="2:2" x14ac:dyDescent="0.25">
      <c r="B311" s="1"/>
    </row>
    <row r="312" spans="2:2" x14ac:dyDescent="0.25">
      <c r="B312" s="1"/>
    </row>
    <row r="313" spans="2:2" x14ac:dyDescent="0.25">
      <c r="B313" s="1"/>
    </row>
    <row r="314" spans="2:2" x14ac:dyDescent="0.25">
      <c r="B314" s="1"/>
    </row>
    <row r="315" spans="2:2" x14ac:dyDescent="0.25">
      <c r="B315" s="1"/>
    </row>
    <row r="316" spans="2:2" x14ac:dyDescent="0.25">
      <c r="B316" s="1"/>
    </row>
    <row r="317" spans="2:2" x14ac:dyDescent="0.25">
      <c r="B317" s="1"/>
    </row>
    <row r="318" spans="2:2" x14ac:dyDescent="0.25">
      <c r="B318" s="1"/>
    </row>
    <row r="319" spans="2:2" x14ac:dyDescent="0.25">
      <c r="B319" s="1"/>
    </row>
    <row r="320" spans="2:2" x14ac:dyDescent="0.25">
      <c r="B320" s="1"/>
    </row>
    <row r="321" spans="2:2" x14ac:dyDescent="0.25">
      <c r="B321" s="1"/>
    </row>
    <row r="322" spans="2:2" x14ac:dyDescent="0.25">
      <c r="B322" s="1"/>
    </row>
    <row r="323" spans="2:2" x14ac:dyDescent="0.25">
      <c r="B323" s="1"/>
    </row>
    <row r="324" spans="2:2" x14ac:dyDescent="0.25">
      <c r="B324" s="1"/>
    </row>
    <row r="325" spans="2:2" x14ac:dyDescent="0.25">
      <c r="B325" s="1"/>
    </row>
    <row r="326" spans="2:2" x14ac:dyDescent="0.25">
      <c r="B326" s="1"/>
    </row>
    <row r="327" spans="2:2" x14ac:dyDescent="0.25">
      <c r="B327" s="1"/>
    </row>
    <row r="328" spans="2:2" x14ac:dyDescent="0.25">
      <c r="B328" s="1"/>
    </row>
    <row r="329" spans="2:2" x14ac:dyDescent="0.25">
      <c r="B329" s="1"/>
    </row>
    <row r="330" spans="2:2" x14ac:dyDescent="0.25">
      <c r="B330" s="1"/>
    </row>
    <row r="331" spans="2:2" x14ac:dyDescent="0.25">
      <c r="B331" s="1"/>
    </row>
    <row r="332" spans="2:2" x14ac:dyDescent="0.25">
      <c r="B332" s="1"/>
    </row>
    <row r="333" spans="2:2" x14ac:dyDescent="0.25">
      <c r="B333" s="1"/>
    </row>
    <row r="334" spans="2:2" x14ac:dyDescent="0.25">
      <c r="B334" s="1"/>
    </row>
    <row r="335" spans="2:2" x14ac:dyDescent="0.25">
      <c r="B335" s="1"/>
    </row>
    <row r="336" spans="2:2" x14ac:dyDescent="0.25">
      <c r="B336" s="1"/>
    </row>
    <row r="337" spans="2:2" x14ac:dyDescent="0.25">
      <c r="B337" s="1"/>
    </row>
    <row r="338" spans="2:2" x14ac:dyDescent="0.25">
      <c r="B338" s="1"/>
    </row>
    <row r="339" spans="2:2" x14ac:dyDescent="0.25">
      <c r="B339" s="1"/>
    </row>
    <row r="340" spans="2:2" x14ac:dyDescent="0.25">
      <c r="B340" s="1"/>
    </row>
    <row r="341" spans="2:2" x14ac:dyDescent="0.25">
      <c r="B341" s="1"/>
    </row>
    <row r="342" spans="2:2" x14ac:dyDescent="0.25">
      <c r="B342" s="1"/>
    </row>
    <row r="343" spans="2:2" x14ac:dyDescent="0.25">
      <c r="B343" s="1"/>
    </row>
    <row r="344" spans="2:2" x14ac:dyDescent="0.25">
      <c r="B344" s="1"/>
    </row>
    <row r="345" spans="2:2" x14ac:dyDescent="0.25">
      <c r="B345" s="1"/>
    </row>
    <row r="346" spans="2:2" x14ac:dyDescent="0.25">
      <c r="B346" s="1"/>
    </row>
    <row r="347" spans="2:2" x14ac:dyDescent="0.25">
      <c r="B347" s="1"/>
    </row>
    <row r="348" spans="2:2" x14ac:dyDescent="0.25">
      <c r="B348" s="1"/>
    </row>
    <row r="349" spans="2:2" x14ac:dyDescent="0.25">
      <c r="B349" s="1"/>
    </row>
    <row r="350" spans="2:2" x14ac:dyDescent="0.25">
      <c r="B350" s="1"/>
    </row>
    <row r="351" spans="2:2" x14ac:dyDescent="0.25">
      <c r="B351" s="1"/>
    </row>
    <row r="352" spans="2:2" x14ac:dyDescent="0.25">
      <c r="B352" s="1"/>
    </row>
    <row r="353" spans="2:2" x14ac:dyDescent="0.25">
      <c r="B353" s="1"/>
    </row>
    <row r="354" spans="2:2" x14ac:dyDescent="0.25">
      <c r="B354" s="1"/>
    </row>
    <row r="355" spans="2:2" x14ac:dyDescent="0.25">
      <c r="B355" s="1"/>
    </row>
    <row r="356" spans="2:2" x14ac:dyDescent="0.25">
      <c r="B356" s="1"/>
    </row>
    <row r="357" spans="2:2" x14ac:dyDescent="0.25">
      <c r="B357" s="1"/>
    </row>
    <row r="358" spans="2:2" x14ac:dyDescent="0.25">
      <c r="B358" s="1"/>
    </row>
    <row r="359" spans="2:2" x14ac:dyDescent="0.25">
      <c r="B359" s="1"/>
    </row>
    <row r="360" spans="2:2" x14ac:dyDescent="0.25">
      <c r="B360" s="1"/>
    </row>
    <row r="361" spans="2:2" x14ac:dyDescent="0.25">
      <c r="B361" s="1"/>
    </row>
    <row r="362" spans="2:2" x14ac:dyDescent="0.25">
      <c r="B362" s="1"/>
    </row>
    <row r="363" spans="2:2" x14ac:dyDescent="0.25">
      <c r="B363" s="1"/>
    </row>
    <row r="364" spans="2:2" x14ac:dyDescent="0.25">
      <c r="B364" s="1"/>
    </row>
    <row r="365" spans="2:2" x14ac:dyDescent="0.25">
      <c r="B365" s="1"/>
    </row>
    <row r="366" spans="2:2" x14ac:dyDescent="0.25">
      <c r="B366" s="1"/>
    </row>
    <row r="367" spans="2:2" x14ac:dyDescent="0.25">
      <c r="B367" s="1"/>
    </row>
    <row r="368" spans="2:2" x14ac:dyDescent="0.25">
      <c r="B368" s="1"/>
    </row>
    <row r="369" spans="2:2" x14ac:dyDescent="0.25">
      <c r="B369" s="1"/>
    </row>
    <row r="370" spans="2:2" x14ac:dyDescent="0.25">
      <c r="B370" s="1"/>
    </row>
    <row r="371" spans="2:2" x14ac:dyDescent="0.25">
      <c r="B371" s="1"/>
    </row>
    <row r="372" spans="2:2" x14ac:dyDescent="0.25">
      <c r="B372" s="1"/>
    </row>
    <row r="373" spans="2:2" x14ac:dyDescent="0.25">
      <c r="B373" s="1"/>
    </row>
    <row r="374" spans="2:2" x14ac:dyDescent="0.25">
      <c r="B374" s="1"/>
    </row>
    <row r="375" spans="2:2" x14ac:dyDescent="0.25">
      <c r="B375" s="1"/>
    </row>
    <row r="376" spans="2:2" x14ac:dyDescent="0.25">
      <c r="B376" s="1"/>
    </row>
    <row r="377" spans="2:2" x14ac:dyDescent="0.25">
      <c r="B377" s="1"/>
    </row>
    <row r="378" spans="2:2" x14ac:dyDescent="0.25">
      <c r="B378" s="1"/>
    </row>
    <row r="379" spans="2:2" x14ac:dyDescent="0.25">
      <c r="B379" s="1"/>
    </row>
    <row r="380" spans="2:2" x14ac:dyDescent="0.25">
      <c r="B380" s="1"/>
    </row>
    <row r="381" spans="2:2" x14ac:dyDescent="0.25">
      <c r="B381" s="1"/>
    </row>
    <row r="382" spans="2:2" x14ac:dyDescent="0.25">
      <c r="B382" s="1"/>
    </row>
    <row r="383" spans="2:2" x14ac:dyDescent="0.25">
      <c r="B383" s="1"/>
    </row>
    <row r="384" spans="2:2" x14ac:dyDescent="0.25">
      <c r="B384" s="1"/>
    </row>
    <row r="385" spans="2:2" x14ac:dyDescent="0.25">
      <c r="B385" s="1"/>
    </row>
    <row r="386" spans="2:2" x14ac:dyDescent="0.25">
      <c r="B386" s="1"/>
    </row>
    <row r="387" spans="2:2" x14ac:dyDescent="0.25">
      <c r="B387" s="1"/>
    </row>
    <row r="388" spans="2:2" x14ac:dyDescent="0.25">
      <c r="B388" s="1"/>
    </row>
    <row r="389" spans="2:2" x14ac:dyDescent="0.25">
      <c r="B389" s="1"/>
    </row>
    <row r="390" spans="2:2" x14ac:dyDescent="0.25">
      <c r="B390" s="1"/>
    </row>
    <row r="391" spans="2:2" x14ac:dyDescent="0.25">
      <c r="B391" s="1"/>
    </row>
    <row r="392" spans="2:2" x14ac:dyDescent="0.25">
      <c r="B392" s="1"/>
    </row>
    <row r="393" spans="2:2" x14ac:dyDescent="0.25">
      <c r="B393" s="1"/>
    </row>
    <row r="394" spans="2:2" x14ac:dyDescent="0.25">
      <c r="B394" s="1"/>
    </row>
    <row r="395" spans="2:2" x14ac:dyDescent="0.25">
      <c r="B395" s="1"/>
    </row>
    <row r="396" spans="2:2" x14ac:dyDescent="0.25">
      <c r="B396" s="1"/>
    </row>
    <row r="397" spans="2:2" x14ac:dyDescent="0.25">
      <c r="B397" s="1"/>
    </row>
    <row r="398" spans="2:2" x14ac:dyDescent="0.25">
      <c r="B398" s="1"/>
    </row>
    <row r="399" spans="2:2" x14ac:dyDescent="0.25">
      <c r="B399" s="1"/>
    </row>
    <row r="400" spans="2:2" x14ac:dyDescent="0.25">
      <c r="B400" s="1"/>
    </row>
    <row r="401" spans="2:2" x14ac:dyDescent="0.25">
      <c r="B401" s="1"/>
    </row>
    <row r="402" spans="2:2" x14ac:dyDescent="0.25">
      <c r="B402" s="1"/>
    </row>
    <row r="403" spans="2:2" x14ac:dyDescent="0.25">
      <c r="B403" s="1"/>
    </row>
    <row r="404" spans="2:2" x14ac:dyDescent="0.25">
      <c r="B404" s="1"/>
    </row>
    <row r="405" spans="2:2" x14ac:dyDescent="0.25">
      <c r="B405" s="1"/>
    </row>
    <row r="406" spans="2:2" x14ac:dyDescent="0.25">
      <c r="B406" s="1"/>
    </row>
    <row r="407" spans="2:2" x14ac:dyDescent="0.25">
      <c r="B407" s="1"/>
    </row>
    <row r="408" spans="2:2" x14ac:dyDescent="0.25">
      <c r="B408" s="1"/>
    </row>
    <row r="409" spans="2:2" x14ac:dyDescent="0.25">
      <c r="B409" s="1"/>
    </row>
    <row r="410" spans="2:2" x14ac:dyDescent="0.25">
      <c r="B410" s="1"/>
    </row>
    <row r="411" spans="2:2" x14ac:dyDescent="0.25">
      <c r="B411" s="1"/>
    </row>
    <row r="412" spans="2:2" x14ac:dyDescent="0.25">
      <c r="B412" s="1"/>
    </row>
    <row r="413" spans="2:2" x14ac:dyDescent="0.25">
      <c r="B413" s="1"/>
    </row>
    <row r="414" spans="2:2" x14ac:dyDescent="0.25">
      <c r="B414" s="1"/>
    </row>
    <row r="415" spans="2:2" x14ac:dyDescent="0.25">
      <c r="B415" s="1"/>
    </row>
    <row r="416" spans="2:2" x14ac:dyDescent="0.25">
      <c r="B416" s="1"/>
    </row>
    <row r="417" spans="2:2" x14ac:dyDescent="0.25">
      <c r="B417" s="1"/>
    </row>
    <row r="418" spans="2:2" x14ac:dyDescent="0.25">
      <c r="B418" s="1"/>
    </row>
    <row r="419" spans="2:2" x14ac:dyDescent="0.25">
      <c r="B419" s="1"/>
    </row>
    <row r="420" spans="2:2" x14ac:dyDescent="0.25">
      <c r="B420" s="1"/>
    </row>
    <row r="421" spans="2:2" x14ac:dyDescent="0.25">
      <c r="B421" s="1"/>
    </row>
    <row r="422" spans="2:2" x14ac:dyDescent="0.25">
      <c r="B422" s="1"/>
    </row>
    <row r="423" spans="2:2" x14ac:dyDescent="0.25">
      <c r="B423" s="1"/>
    </row>
    <row r="424" spans="2:2" x14ac:dyDescent="0.25">
      <c r="B424" s="1"/>
    </row>
    <row r="425" spans="2:2" x14ac:dyDescent="0.25">
      <c r="B425" s="1"/>
    </row>
    <row r="426" spans="2:2" x14ac:dyDescent="0.25">
      <c r="B426" s="1"/>
    </row>
    <row r="427" spans="2:2" x14ac:dyDescent="0.25">
      <c r="B427" s="1"/>
    </row>
    <row r="428" spans="2:2" x14ac:dyDescent="0.25">
      <c r="B428" s="1"/>
    </row>
    <row r="429" spans="2:2" x14ac:dyDescent="0.25">
      <c r="B429" s="1"/>
    </row>
    <row r="430" spans="2:2" x14ac:dyDescent="0.25">
      <c r="B430" s="1"/>
    </row>
    <row r="431" spans="2:2" x14ac:dyDescent="0.25">
      <c r="B431" s="1"/>
    </row>
    <row r="432" spans="2:2" x14ac:dyDescent="0.25">
      <c r="B432" s="1"/>
    </row>
    <row r="433" spans="2:2" x14ac:dyDescent="0.25">
      <c r="B433" s="1"/>
    </row>
    <row r="434" spans="2:2" x14ac:dyDescent="0.25">
      <c r="B434" s="1"/>
    </row>
    <row r="435" spans="2:2" x14ac:dyDescent="0.25">
      <c r="B435" s="1"/>
    </row>
    <row r="436" spans="2:2" x14ac:dyDescent="0.25">
      <c r="B436" s="1"/>
    </row>
    <row r="437" spans="2:2" x14ac:dyDescent="0.25">
      <c r="B437" s="1"/>
    </row>
    <row r="438" spans="2:2" x14ac:dyDescent="0.25">
      <c r="B438" s="1"/>
    </row>
    <row r="439" spans="2:2" x14ac:dyDescent="0.25">
      <c r="B439" s="1"/>
    </row>
    <row r="440" spans="2:2" x14ac:dyDescent="0.25">
      <c r="B440" s="1"/>
    </row>
    <row r="441" spans="2:2" x14ac:dyDescent="0.25">
      <c r="B441" s="1"/>
    </row>
    <row r="442" spans="2:2" x14ac:dyDescent="0.25">
      <c r="B442" s="1"/>
    </row>
    <row r="443" spans="2:2" x14ac:dyDescent="0.25">
      <c r="B443" s="1"/>
    </row>
    <row r="444" spans="2:2" x14ac:dyDescent="0.25">
      <c r="B444" s="1"/>
    </row>
    <row r="445" spans="2:2" x14ac:dyDescent="0.25">
      <c r="B445" s="1"/>
    </row>
    <row r="446" spans="2:2" x14ac:dyDescent="0.25">
      <c r="B446" s="1"/>
    </row>
    <row r="447" spans="2:2" x14ac:dyDescent="0.25">
      <c r="B447" s="1"/>
    </row>
    <row r="448" spans="2:2" x14ac:dyDescent="0.25">
      <c r="B448" s="1"/>
    </row>
    <row r="449" spans="2:2" x14ac:dyDescent="0.25">
      <c r="B449" s="1"/>
    </row>
    <row r="450" spans="2:2" x14ac:dyDescent="0.25">
      <c r="B450" s="1"/>
    </row>
    <row r="451" spans="2:2" x14ac:dyDescent="0.25">
      <c r="B451" s="1"/>
    </row>
    <row r="452" spans="2:2" x14ac:dyDescent="0.25">
      <c r="B452" s="1"/>
    </row>
    <row r="453" spans="2:2" x14ac:dyDescent="0.25">
      <c r="B453" s="1"/>
    </row>
    <row r="454" spans="2:2" x14ac:dyDescent="0.25">
      <c r="B454" s="1"/>
    </row>
    <row r="455" spans="2:2" x14ac:dyDescent="0.25">
      <c r="B455" s="1"/>
    </row>
    <row r="456" spans="2:2" x14ac:dyDescent="0.25">
      <c r="B456" s="1"/>
    </row>
    <row r="457" spans="2:2" x14ac:dyDescent="0.25">
      <c r="B457" s="1"/>
    </row>
    <row r="458" spans="2:2" x14ac:dyDescent="0.25">
      <c r="B458" s="1"/>
    </row>
    <row r="459" spans="2:2" x14ac:dyDescent="0.25">
      <c r="B459" s="1"/>
    </row>
    <row r="460" spans="2:2" x14ac:dyDescent="0.25">
      <c r="B460" s="1"/>
    </row>
    <row r="461" spans="2:2" x14ac:dyDescent="0.25">
      <c r="B461" s="1"/>
    </row>
    <row r="462" spans="2:2" x14ac:dyDescent="0.25">
      <c r="B462" s="1"/>
    </row>
    <row r="463" spans="2:2" x14ac:dyDescent="0.25">
      <c r="B463" s="1"/>
    </row>
    <row r="464" spans="2:2" x14ac:dyDescent="0.25">
      <c r="B464" s="1"/>
    </row>
    <row r="465" spans="2:2" x14ac:dyDescent="0.25">
      <c r="B465" s="1"/>
    </row>
    <row r="466" spans="2:2" x14ac:dyDescent="0.25">
      <c r="B466" s="1"/>
    </row>
    <row r="467" spans="2:2" x14ac:dyDescent="0.25">
      <c r="B467" s="1"/>
    </row>
    <row r="468" spans="2:2" x14ac:dyDescent="0.25">
      <c r="B468" s="1"/>
    </row>
    <row r="469" spans="2:2" x14ac:dyDescent="0.25">
      <c r="B469" s="1"/>
    </row>
    <row r="470" spans="2:2" x14ac:dyDescent="0.25">
      <c r="B470" s="1"/>
    </row>
    <row r="471" spans="2:2" x14ac:dyDescent="0.25">
      <c r="B471" s="1"/>
    </row>
    <row r="472" spans="2:2" x14ac:dyDescent="0.25">
      <c r="B472" s="1"/>
    </row>
    <row r="473" spans="2:2" x14ac:dyDescent="0.25">
      <c r="B473" s="1"/>
    </row>
    <row r="474" spans="2:2" x14ac:dyDescent="0.25">
      <c r="B474" s="1"/>
    </row>
    <row r="475" spans="2:2" x14ac:dyDescent="0.25">
      <c r="B475" s="1"/>
    </row>
    <row r="476" spans="2:2" x14ac:dyDescent="0.25">
      <c r="B476" s="1"/>
    </row>
    <row r="477" spans="2:2" x14ac:dyDescent="0.25">
      <c r="B477" s="1"/>
    </row>
    <row r="478" spans="2:2" x14ac:dyDescent="0.25">
      <c r="B478" s="1"/>
    </row>
    <row r="479" spans="2:2" x14ac:dyDescent="0.25">
      <c r="B479" s="1"/>
    </row>
    <row r="480" spans="2:2" x14ac:dyDescent="0.25">
      <c r="B480" s="1"/>
    </row>
    <row r="481" spans="2:2" x14ac:dyDescent="0.25">
      <c r="B481" s="1"/>
    </row>
    <row r="482" spans="2:2" x14ac:dyDescent="0.25">
      <c r="B482" s="1"/>
    </row>
    <row r="483" spans="2:2" x14ac:dyDescent="0.25">
      <c r="B483" s="1"/>
    </row>
    <row r="484" spans="2:2" x14ac:dyDescent="0.25">
      <c r="B484" s="1"/>
    </row>
    <row r="485" spans="2:2" x14ac:dyDescent="0.25">
      <c r="B485" s="1"/>
    </row>
    <row r="486" spans="2:2" x14ac:dyDescent="0.25">
      <c r="B486" s="1"/>
    </row>
    <row r="487" spans="2:2" x14ac:dyDescent="0.25">
      <c r="B487" s="1"/>
    </row>
    <row r="488" spans="2:2" x14ac:dyDescent="0.25">
      <c r="B488" s="1"/>
    </row>
    <row r="489" spans="2:2" x14ac:dyDescent="0.25">
      <c r="B489" s="1"/>
    </row>
    <row r="490" spans="2:2" x14ac:dyDescent="0.25">
      <c r="B490" s="1"/>
    </row>
    <row r="491" spans="2:2" x14ac:dyDescent="0.25">
      <c r="B491" s="1"/>
    </row>
    <row r="492" spans="2:2" x14ac:dyDescent="0.25">
      <c r="B492" s="1"/>
    </row>
    <row r="493" spans="2:2" x14ac:dyDescent="0.25">
      <c r="B493" s="1"/>
    </row>
    <row r="494" spans="2:2" x14ac:dyDescent="0.25">
      <c r="B494" s="1"/>
    </row>
    <row r="495" spans="2:2" x14ac:dyDescent="0.25">
      <c r="B495" s="1"/>
    </row>
    <row r="496" spans="2:2" x14ac:dyDescent="0.25">
      <c r="B496" s="1"/>
    </row>
    <row r="497" spans="2:2" x14ac:dyDescent="0.25">
      <c r="B497" s="1"/>
    </row>
    <row r="498" spans="2:2" x14ac:dyDescent="0.25">
      <c r="B498" s="1"/>
    </row>
    <row r="499" spans="2:2" x14ac:dyDescent="0.25">
      <c r="B499" s="1"/>
    </row>
    <row r="500" spans="2:2" x14ac:dyDescent="0.25">
      <c r="B500" s="1"/>
    </row>
    <row r="501" spans="2:2" x14ac:dyDescent="0.25">
      <c r="B501" s="1"/>
    </row>
    <row r="502" spans="2:2" x14ac:dyDescent="0.25">
      <c r="B502" s="1"/>
    </row>
    <row r="503" spans="2:2" x14ac:dyDescent="0.25">
      <c r="B503" s="1"/>
    </row>
    <row r="504" spans="2:2" x14ac:dyDescent="0.25">
      <c r="B504" s="1"/>
    </row>
    <row r="505" spans="2:2" x14ac:dyDescent="0.25">
      <c r="B505" s="1"/>
    </row>
    <row r="506" spans="2:2" x14ac:dyDescent="0.25">
      <c r="B506" s="1"/>
    </row>
    <row r="507" spans="2:2" x14ac:dyDescent="0.25">
      <c r="B507" s="1"/>
    </row>
    <row r="508" spans="2:2" x14ac:dyDescent="0.25">
      <c r="B508" s="1"/>
    </row>
    <row r="509" spans="2:2" x14ac:dyDescent="0.25">
      <c r="B509" s="1"/>
    </row>
    <row r="510" spans="2:2" x14ac:dyDescent="0.25">
      <c r="B510" s="1"/>
    </row>
    <row r="511" spans="2:2" x14ac:dyDescent="0.25">
      <c r="B511" s="1"/>
    </row>
    <row r="512" spans="2:2" x14ac:dyDescent="0.25">
      <c r="B512" s="1"/>
    </row>
    <row r="513" spans="2:2" x14ac:dyDescent="0.25">
      <c r="B513" s="1"/>
    </row>
    <row r="514" spans="2:2" x14ac:dyDescent="0.25">
      <c r="B514" s="1"/>
    </row>
    <row r="515" spans="2:2" x14ac:dyDescent="0.25">
      <c r="B515" s="1"/>
    </row>
    <row r="516" spans="2:2" x14ac:dyDescent="0.25">
      <c r="B516" s="1"/>
    </row>
    <row r="517" spans="2:2" x14ac:dyDescent="0.25">
      <c r="B517" s="1"/>
    </row>
    <row r="518" spans="2:2" x14ac:dyDescent="0.25">
      <c r="B518" s="1"/>
    </row>
    <row r="519" spans="2:2" x14ac:dyDescent="0.25">
      <c r="B519" s="1"/>
    </row>
    <row r="520" spans="2:2" x14ac:dyDescent="0.25">
      <c r="B520" s="1"/>
    </row>
    <row r="521" spans="2:2" x14ac:dyDescent="0.25">
      <c r="B521" s="1"/>
    </row>
    <row r="522" spans="2:2" x14ac:dyDescent="0.25">
      <c r="B522" s="1"/>
    </row>
    <row r="523" spans="2:2" x14ac:dyDescent="0.25">
      <c r="B523" s="1"/>
    </row>
    <row r="524" spans="2:2" x14ac:dyDescent="0.25">
      <c r="B524" s="1"/>
    </row>
    <row r="525" spans="2:2" x14ac:dyDescent="0.25">
      <c r="B525" s="1"/>
    </row>
    <row r="526" spans="2:2" x14ac:dyDescent="0.25">
      <c r="B526" s="1"/>
    </row>
    <row r="527" spans="2:2" x14ac:dyDescent="0.25">
      <c r="B527" s="1"/>
    </row>
    <row r="528" spans="2:2" x14ac:dyDescent="0.25">
      <c r="B528" s="1"/>
    </row>
    <row r="529" spans="2:2" x14ac:dyDescent="0.25">
      <c r="B529" s="1"/>
    </row>
    <row r="530" spans="2:2" x14ac:dyDescent="0.25">
      <c r="B530" s="1"/>
    </row>
    <row r="531" spans="2:2" x14ac:dyDescent="0.25">
      <c r="B531" s="1"/>
    </row>
    <row r="532" spans="2:2" x14ac:dyDescent="0.25">
      <c r="B532" s="1"/>
    </row>
    <row r="533" spans="2:2" x14ac:dyDescent="0.25">
      <c r="B533" s="1"/>
    </row>
    <row r="534" spans="2:2" x14ac:dyDescent="0.25">
      <c r="B534" s="1"/>
    </row>
    <row r="535" spans="2:2" x14ac:dyDescent="0.25">
      <c r="B535" s="1"/>
    </row>
    <row r="536" spans="2:2" x14ac:dyDescent="0.25">
      <c r="B536" s="1"/>
    </row>
    <row r="537" spans="2:2" x14ac:dyDescent="0.25">
      <c r="B537" s="1"/>
    </row>
    <row r="538" spans="2:2" x14ac:dyDescent="0.25">
      <c r="B538" s="1"/>
    </row>
    <row r="539" spans="2:2" x14ac:dyDescent="0.25">
      <c r="B539" s="1"/>
    </row>
    <row r="540" spans="2:2" x14ac:dyDescent="0.25">
      <c r="B540" s="1"/>
    </row>
    <row r="541" spans="2:2" x14ac:dyDescent="0.25">
      <c r="B541" s="1"/>
    </row>
    <row r="542" spans="2:2" x14ac:dyDescent="0.25">
      <c r="B542" s="1"/>
    </row>
    <row r="543" spans="2:2" x14ac:dyDescent="0.25">
      <c r="B543" s="1"/>
    </row>
    <row r="544" spans="2:2" x14ac:dyDescent="0.25">
      <c r="B544" s="1"/>
    </row>
    <row r="545" spans="2:2" x14ac:dyDescent="0.25">
      <c r="B545" s="1"/>
    </row>
    <row r="546" spans="2:2" x14ac:dyDescent="0.25">
      <c r="B546" s="1"/>
    </row>
    <row r="547" spans="2:2" x14ac:dyDescent="0.25">
      <c r="B547" s="1"/>
    </row>
    <row r="548" spans="2:2" x14ac:dyDescent="0.25">
      <c r="B548" s="1"/>
    </row>
    <row r="549" spans="2:2" x14ac:dyDescent="0.25">
      <c r="B549" s="1"/>
    </row>
    <row r="550" spans="2:2" x14ac:dyDescent="0.25">
      <c r="B550" s="1"/>
    </row>
    <row r="551" spans="2:2" x14ac:dyDescent="0.25">
      <c r="B551" s="1"/>
    </row>
    <row r="552" spans="2:2" x14ac:dyDescent="0.25">
      <c r="B552" s="1"/>
    </row>
    <row r="553" spans="2:2" x14ac:dyDescent="0.25">
      <c r="B553" s="1"/>
    </row>
    <row r="554" spans="2:2" x14ac:dyDescent="0.25">
      <c r="B554" s="1"/>
    </row>
    <row r="555" spans="2:2" x14ac:dyDescent="0.25">
      <c r="B555" s="1"/>
    </row>
    <row r="556" spans="2:2" x14ac:dyDescent="0.25">
      <c r="B556" s="1"/>
    </row>
    <row r="557" spans="2:2" x14ac:dyDescent="0.25">
      <c r="B557" s="1"/>
    </row>
    <row r="558" spans="2:2" x14ac:dyDescent="0.25">
      <c r="B558" s="1"/>
    </row>
    <row r="559" spans="2:2" x14ac:dyDescent="0.25">
      <c r="B559" s="1"/>
    </row>
    <row r="560" spans="2:2" x14ac:dyDescent="0.25">
      <c r="B560" s="1"/>
    </row>
    <row r="561" spans="2:2" x14ac:dyDescent="0.25">
      <c r="B561" s="1"/>
    </row>
    <row r="562" spans="2:2" x14ac:dyDescent="0.25">
      <c r="B562" s="1"/>
    </row>
    <row r="563" spans="2:2" x14ac:dyDescent="0.25">
      <c r="B563" s="1"/>
    </row>
    <row r="564" spans="2:2" x14ac:dyDescent="0.25">
      <c r="B564" s="1"/>
    </row>
    <row r="565" spans="2:2" x14ac:dyDescent="0.25">
      <c r="B565" s="1"/>
    </row>
    <row r="566" spans="2:2" x14ac:dyDescent="0.25">
      <c r="B566" s="1"/>
    </row>
    <row r="567" spans="2:2" x14ac:dyDescent="0.25">
      <c r="B567" s="1"/>
    </row>
    <row r="568" spans="2:2" x14ac:dyDescent="0.25">
      <c r="B568" s="1"/>
    </row>
    <row r="569" spans="2:2" x14ac:dyDescent="0.25">
      <c r="B569" s="1"/>
    </row>
    <row r="570" spans="2:2" x14ac:dyDescent="0.25">
      <c r="B570" s="1"/>
    </row>
    <row r="571" spans="2:2" x14ac:dyDescent="0.25">
      <c r="B571" s="1"/>
    </row>
    <row r="572" spans="2:2" x14ac:dyDescent="0.25">
      <c r="B572" s="1"/>
    </row>
    <row r="573" spans="2:2" x14ac:dyDescent="0.25">
      <c r="B573" s="1"/>
    </row>
    <row r="574" spans="2:2" x14ac:dyDescent="0.25">
      <c r="B574" s="1"/>
    </row>
    <row r="575" spans="2:2" x14ac:dyDescent="0.25">
      <c r="B575" s="1"/>
    </row>
    <row r="576" spans="2:2" x14ac:dyDescent="0.25">
      <c r="B576" s="1"/>
    </row>
    <row r="577" spans="2:2" x14ac:dyDescent="0.25">
      <c r="B577" s="1"/>
    </row>
    <row r="578" spans="2:2" x14ac:dyDescent="0.25">
      <c r="B578" s="1"/>
    </row>
    <row r="579" spans="2:2" x14ac:dyDescent="0.25">
      <c r="B579" s="1"/>
    </row>
    <row r="580" spans="2:2" x14ac:dyDescent="0.25">
      <c r="B580" s="1"/>
    </row>
    <row r="581" spans="2:2" x14ac:dyDescent="0.25">
      <c r="B581" s="1"/>
    </row>
    <row r="582" spans="2:2" x14ac:dyDescent="0.25">
      <c r="B582" s="1"/>
    </row>
    <row r="583" spans="2:2" x14ac:dyDescent="0.25">
      <c r="B583" s="1"/>
    </row>
    <row r="584" spans="2:2" x14ac:dyDescent="0.25">
      <c r="B584" s="1"/>
    </row>
    <row r="585" spans="2:2" x14ac:dyDescent="0.25">
      <c r="B585" s="1"/>
    </row>
    <row r="586" spans="2:2" x14ac:dyDescent="0.25">
      <c r="B586" s="1"/>
    </row>
    <row r="587" spans="2:2" x14ac:dyDescent="0.25">
      <c r="B587" s="1"/>
    </row>
    <row r="588" spans="2:2" x14ac:dyDescent="0.25">
      <c r="B588" s="1"/>
    </row>
    <row r="589" spans="2:2" x14ac:dyDescent="0.25">
      <c r="B589" s="1"/>
    </row>
    <row r="590" spans="2:2" x14ac:dyDescent="0.25">
      <c r="B590" s="1"/>
    </row>
    <row r="591" spans="2:2" x14ac:dyDescent="0.25">
      <c r="B591" s="1"/>
    </row>
    <row r="592" spans="2:2" x14ac:dyDescent="0.25">
      <c r="B592" s="1"/>
    </row>
    <row r="593" spans="2:2" x14ac:dyDescent="0.25">
      <c r="B593" s="1"/>
    </row>
    <row r="594" spans="2:2" x14ac:dyDescent="0.25">
      <c r="B594" s="1"/>
    </row>
    <row r="595" spans="2:2" x14ac:dyDescent="0.25">
      <c r="B595" s="1"/>
    </row>
    <row r="596" spans="2:2" x14ac:dyDescent="0.25">
      <c r="B596" s="1"/>
    </row>
    <row r="597" spans="2:2" x14ac:dyDescent="0.25">
      <c r="B597" s="1"/>
    </row>
    <row r="598" spans="2:2" x14ac:dyDescent="0.25">
      <c r="B598" s="1"/>
    </row>
    <row r="599" spans="2:2" x14ac:dyDescent="0.25">
      <c r="B599" s="1"/>
    </row>
    <row r="600" spans="2:2" x14ac:dyDescent="0.25">
      <c r="B600" s="1"/>
    </row>
    <row r="601" spans="2:2" x14ac:dyDescent="0.25">
      <c r="B601" s="1"/>
    </row>
    <row r="602" spans="2:2" x14ac:dyDescent="0.25">
      <c r="B602" s="1"/>
    </row>
    <row r="603" spans="2:2" x14ac:dyDescent="0.25">
      <c r="B603" s="1"/>
    </row>
    <row r="604" spans="2:2" x14ac:dyDescent="0.25">
      <c r="B604" s="1"/>
    </row>
    <row r="605" spans="2:2" x14ac:dyDescent="0.25">
      <c r="B605" s="1"/>
    </row>
    <row r="606" spans="2:2" x14ac:dyDescent="0.25">
      <c r="B606" s="1"/>
    </row>
    <row r="607" spans="2:2" x14ac:dyDescent="0.25">
      <c r="B607" s="1"/>
    </row>
    <row r="608" spans="2:2" x14ac:dyDescent="0.25">
      <c r="B608" s="1"/>
    </row>
    <row r="609" spans="2:2" x14ac:dyDescent="0.25">
      <c r="B609" s="1"/>
    </row>
    <row r="610" spans="2:2" x14ac:dyDescent="0.25">
      <c r="B610" s="1"/>
    </row>
    <row r="611" spans="2:2" x14ac:dyDescent="0.25">
      <c r="B611" s="1"/>
    </row>
    <row r="612" spans="2:2" x14ac:dyDescent="0.25">
      <c r="B612" s="1"/>
    </row>
    <row r="613" spans="2:2" x14ac:dyDescent="0.25">
      <c r="B613" s="1"/>
    </row>
    <row r="614" spans="2:2" x14ac:dyDescent="0.25">
      <c r="B614" s="1"/>
    </row>
    <row r="615" spans="2:2" x14ac:dyDescent="0.25">
      <c r="B615" s="1"/>
    </row>
    <row r="616" spans="2:2" x14ac:dyDescent="0.25">
      <c r="B616" s="1"/>
    </row>
    <row r="617" spans="2:2" x14ac:dyDescent="0.25">
      <c r="B617" s="1"/>
    </row>
    <row r="618" spans="2:2" x14ac:dyDescent="0.25">
      <c r="B618" s="1"/>
    </row>
    <row r="619" spans="2:2" x14ac:dyDescent="0.25">
      <c r="B619" s="1"/>
    </row>
    <row r="620" spans="2:2" x14ac:dyDescent="0.25">
      <c r="B620" s="1"/>
    </row>
    <row r="621" spans="2:2" x14ac:dyDescent="0.25">
      <c r="B621" s="1"/>
    </row>
    <row r="622" spans="2:2" x14ac:dyDescent="0.25">
      <c r="B622" s="1"/>
    </row>
    <row r="623" spans="2:2" x14ac:dyDescent="0.25">
      <c r="B623" s="1"/>
    </row>
    <row r="624" spans="2:2" x14ac:dyDescent="0.25">
      <c r="B624" s="1"/>
    </row>
    <row r="625" spans="2:2" x14ac:dyDescent="0.25">
      <c r="B625" s="1"/>
    </row>
    <row r="626" spans="2:2" x14ac:dyDescent="0.25">
      <c r="B626" s="1"/>
    </row>
    <row r="627" spans="2:2" x14ac:dyDescent="0.25">
      <c r="B627" s="1"/>
    </row>
    <row r="628" spans="2:2" x14ac:dyDescent="0.25">
      <c r="B628" s="1"/>
    </row>
    <row r="629" spans="2:2" x14ac:dyDescent="0.25">
      <c r="B629" s="1"/>
    </row>
    <row r="630" spans="2:2" x14ac:dyDescent="0.25">
      <c r="B630" s="1"/>
    </row>
    <row r="631" spans="2:2" x14ac:dyDescent="0.25">
      <c r="B631" s="1"/>
    </row>
    <row r="632" spans="2:2" x14ac:dyDescent="0.25">
      <c r="B632" s="1"/>
    </row>
    <row r="633" spans="2:2" x14ac:dyDescent="0.25">
      <c r="B633" s="1"/>
    </row>
    <row r="634" spans="2:2" x14ac:dyDescent="0.25">
      <c r="B634" s="1"/>
    </row>
    <row r="635" spans="2:2" x14ac:dyDescent="0.25">
      <c r="B635" s="1"/>
    </row>
    <row r="636" spans="2:2" x14ac:dyDescent="0.25">
      <c r="B636" s="1"/>
    </row>
    <row r="637" spans="2:2" x14ac:dyDescent="0.25">
      <c r="B637" s="1"/>
    </row>
    <row r="638" spans="2:2" x14ac:dyDescent="0.25">
      <c r="B638" s="1"/>
    </row>
    <row r="639" spans="2:2" x14ac:dyDescent="0.25">
      <c r="B639" s="1"/>
    </row>
    <row r="640" spans="2:2" x14ac:dyDescent="0.25">
      <c r="B640" s="1"/>
    </row>
    <row r="641" spans="2:2" x14ac:dyDescent="0.25">
      <c r="B641" s="1"/>
    </row>
    <row r="642" spans="2:2" x14ac:dyDescent="0.25">
      <c r="B642" s="1"/>
    </row>
    <row r="643" spans="2:2" x14ac:dyDescent="0.25">
      <c r="B643" s="1"/>
    </row>
    <row r="644" spans="2:2" x14ac:dyDescent="0.25">
      <c r="B644" s="1"/>
    </row>
    <row r="645" spans="2:2" x14ac:dyDescent="0.25">
      <c r="B645" s="1"/>
    </row>
    <row r="646" spans="2:2" x14ac:dyDescent="0.25">
      <c r="B646" s="1"/>
    </row>
    <row r="647" spans="2:2" x14ac:dyDescent="0.25">
      <c r="B647" s="1"/>
    </row>
    <row r="648" spans="2:2" x14ac:dyDescent="0.25">
      <c r="B648" s="1"/>
    </row>
    <row r="649" spans="2:2" x14ac:dyDescent="0.25">
      <c r="B649" s="1"/>
    </row>
    <row r="650" spans="2:2" x14ac:dyDescent="0.25">
      <c r="B650" s="1"/>
    </row>
    <row r="651" spans="2:2" x14ac:dyDescent="0.25">
      <c r="B651" s="1"/>
    </row>
    <row r="652" spans="2:2" x14ac:dyDescent="0.25">
      <c r="B652" s="1"/>
    </row>
    <row r="653" spans="2:2" x14ac:dyDescent="0.25">
      <c r="B653" s="1"/>
    </row>
    <row r="654" spans="2:2" x14ac:dyDescent="0.25">
      <c r="B654" s="1"/>
    </row>
    <row r="655" spans="2:2" x14ac:dyDescent="0.25">
      <c r="B655" s="1"/>
    </row>
    <row r="656" spans="2:2" x14ac:dyDescent="0.25">
      <c r="B656" s="1"/>
    </row>
    <row r="657" spans="2:2" x14ac:dyDescent="0.25">
      <c r="B657" s="1"/>
    </row>
    <row r="658" spans="2:2" x14ac:dyDescent="0.25">
      <c r="B658" s="1"/>
    </row>
    <row r="659" spans="2:2" x14ac:dyDescent="0.25">
      <c r="B659" s="1"/>
    </row>
    <row r="660" spans="2:2" x14ac:dyDescent="0.25">
      <c r="B660" s="1"/>
    </row>
    <row r="661" spans="2:2" x14ac:dyDescent="0.25">
      <c r="B661" s="1"/>
    </row>
    <row r="662" spans="2:2" x14ac:dyDescent="0.25">
      <c r="B662" s="1"/>
    </row>
    <row r="663" spans="2:2" x14ac:dyDescent="0.25">
      <c r="B663" s="1"/>
    </row>
    <row r="664" spans="2:2" x14ac:dyDescent="0.25">
      <c r="B664" s="1"/>
    </row>
    <row r="665" spans="2:2" x14ac:dyDescent="0.25">
      <c r="B665" s="1"/>
    </row>
    <row r="666" spans="2:2" x14ac:dyDescent="0.25">
      <c r="B666" s="1"/>
    </row>
    <row r="667" spans="2:2" x14ac:dyDescent="0.25">
      <c r="B667" s="1"/>
    </row>
    <row r="668" spans="2:2" x14ac:dyDescent="0.25">
      <c r="B668" s="1"/>
    </row>
    <row r="669" spans="2:2" x14ac:dyDescent="0.25">
      <c r="B669" s="1"/>
    </row>
    <row r="670" spans="2:2" x14ac:dyDescent="0.25">
      <c r="B670" s="1"/>
    </row>
    <row r="671" spans="2:2" x14ac:dyDescent="0.25">
      <c r="B671" s="1"/>
    </row>
    <row r="672" spans="2:2" x14ac:dyDescent="0.25">
      <c r="B672" s="1"/>
    </row>
    <row r="673" spans="2:2" x14ac:dyDescent="0.25">
      <c r="B673" s="1"/>
    </row>
    <row r="674" spans="2:2" x14ac:dyDescent="0.25">
      <c r="B674" s="1"/>
    </row>
    <row r="675" spans="2:2" x14ac:dyDescent="0.25">
      <c r="B675" s="1"/>
    </row>
    <row r="676" spans="2:2" x14ac:dyDescent="0.25">
      <c r="B676" s="1"/>
    </row>
    <row r="677" spans="2:2" x14ac:dyDescent="0.25">
      <c r="B677" s="1"/>
    </row>
    <row r="678" spans="2:2" x14ac:dyDescent="0.25">
      <c r="B678" s="1"/>
    </row>
    <row r="679" spans="2:2" x14ac:dyDescent="0.25">
      <c r="B679" s="1"/>
    </row>
    <row r="680" spans="2:2" x14ac:dyDescent="0.25">
      <c r="B680" s="1"/>
    </row>
    <row r="681" spans="2:2" x14ac:dyDescent="0.25">
      <c r="B681" s="1"/>
    </row>
    <row r="682" spans="2:2" x14ac:dyDescent="0.25">
      <c r="B682" s="1"/>
    </row>
    <row r="683" spans="2:2" x14ac:dyDescent="0.25">
      <c r="B683" s="1"/>
    </row>
    <row r="684" spans="2:2" x14ac:dyDescent="0.25">
      <c r="B684" s="1"/>
    </row>
    <row r="685" spans="2:2" x14ac:dyDescent="0.25">
      <c r="B685" s="1"/>
    </row>
    <row r="686" spans="2:2" x14ac:dyDescent="0.25">
      <c r="B686" s="1"/>
    </row>
    <row r="687" spans="2:2" x14ac:dyDescent="0.25">
      <c r="B687" s="1"/>
    </row>
    <row r="688" spans="2:2" x14ac:dyDescent="0.25">
      <c r="B688" s="1"/>
    </row>
    <row r="689" spans="2:2" x14ac:dyDescent="0.25">
      <c r="B689" s="1"/>
    </row>
    <row r="690" spans="2:2" x14ac:dyDescent="0.25">
      <c r="B690" s="1"/>
    </row>
    <row r="691" spans="2:2" x14ac:dyDescent="0.25">
      <c r="B691" s="1"/>
    </row>
    <row r="692" spans="2:2" x14ac:dyDescent="0.25">
      <c r="B692" s="1"/>
    </row>
    <row r="693" spans="2:2" x14ac:dyDescent="0.25">
      <c r="B693" s="1"/>
    </row>
    <row r="694" spans="2:2" x14ac:dyDescent="0.25">
      <c r="B694" s="1"/>
    </row>
    <row r="695" spans="2:2" x14ac:dyDescent="0.25">
      <c r="B695" s="1"/>
    </row>
    <row r="696" spans="2:2" x14ac:dyDescent="0.25">
      <c r="B696" s="1"/>
    </row>
    <row r="697" spans="2:2" x14ac:dyDescent="0.25">
      <c r="B697" s="1"/>
    </row>
    <row r="698" spans="2:2" x14ac:dyDescent="0.25">
      <c r="B698" s="1"/>
    </row>
    <row r="699" spans="2:2" x14ac:dyDescent="0.25">
      <c r="B699" s="1"/>
    </row>
    <row r="700" spans="2:2" x14ac:dyDescent="0.25">
      <c r="B700" s="1"/>
    </row>
    <row r="701" spans="2:2" x14ac:dyDescent="0.25">
      <c r="B701" s="1"/>
    </row>
    <row r="702" spans="2:2" x14ac:dyDescent="0.25">
      <c r="B702" s="1"/>
    </row>
    <row r="703" spans="2:2" x14ac:dyDescent="0.25">
      <c r="B703" s="1"/>
    </row>
    <row r="704" spans="2:2" x14ac:dyDescent="0.25">
      <c r="B704" s="1"/>
    </row>
    <row r="705" spans="2:2" x14ac:dyDescent="0.25">
      <c r="B705" s="1"/>
    </row>
    <row r="706" spans="2:2" x14ac:dyDescent="0.25">
      <c r="B706" s="1"/>
    </row>
    <row r="707" spans="2:2" x14ac:dyDescent="0.25">
      <c r="B707" s="1"/>
    </row>
    <row r="708" spans="2:2" x14ac:dyDescent="0.25">
      <c r="B708" s="1"/>
    </row>
    <row r="709" spans="2:2" x14ac:dyDescent="0.25">
      <c r="B709" s="1"/>
    </row>
    <row r="710" spans="2:2" x14ac:dyDescent="0.25">
      <c r="B710" s="1"/>
    </row>
    <row r="711" spans="2:2" x14ac:dyDescent="0.25">
      <c r="B711" s="1"/>
    </row>
    <row r="712" spans="2:2" x14ac:dyDescent="0.25">
      <c r="B712" s="1"/>
    </row>
    <row r="713" spans="2:2" x14ac:dyDescent="0.25">
      <c r="B713" s="1"/>
    </row>
    <row r="714" spans="2:2" x14ac:dyDescent="0.25">
      <c r="B714" s="1"/>
    </row>
    <row r="715" spans="2:2" x14ac:dyDescent="0.25">
      <c r="B715" s="1"/>
    </row>
    <row r="716" spans="2:2" x14ac:dyDescent="0.25">
      <c r="B716" s="1"/>
    </row>
    <row r="717" spans="2:2" x14ac:dyDescent="0.25">
      <c r="B717" s="1"/>
    </row>
    <row r="718" spans="2:2" x14ac:dyDescent="0.25">
      <c r="B718" s="1"/>
    </row>
    <row r="719" spans="2:2" x14ac:dyDescent="0.25">
      <c r="B719" s="1"/>
    </row>
    <row r="720" spans="2:2" x14ac:dyDescent="0.25">
      <c r="B720" s="1"/>
    </row>
    <row r="721" spans="2:2" x14ac:dyDescent="0.25">
      <c r="B721" s="1"/>
    </row>
    <row r="722" spans="2:2" x14ac:dyDescent="0.25">
      <c r="B722" s="1"/>
    </row>
    <row r="723" spans="2:2" x14ac:dyDescent="0.25">
      <c r="B723" s="1"/>
    </row>
    <row r="724" spans="2:2" x14ac:dyDescent="0.25">
      <c r="B724" s="1"/>
    </row>
    <row r="725" spans="2:2" x14ac:dyDescent="0.25">
      <c r="B725" s="1"/>
    </row>
    <row r="726" spans="2:2" x14ac:dyDescent="0.25">
      <c r="B726" s="1"/>
    </row>
    <row r="727" spans="2:2" x14ac:dyDescent="0.25">
      <c r="B727" s="1"/>
    </row>
    <row r="728" spans="2:2" x14ac:dyDescent="0.25">
      <c r="B728" s="1"/>
    </row>
    <row r="729" spans="2:2" x14ac:dyDescent="0.25">
      <c r="B729" s="1"/>
    </row>
    <row r="730" spans="2:2" x14ac:dyDescent="0.25">
      <c r="B730" s="1"/>
    </row>
    <row r="731" spans="2:2" x14ac:dyDescent="0.25">
      <c r="B731" s="1"/>
    </row>
    <row r="732" spans="2:2" x14ac:dyDescent="0.25">
      <c r="B732" s="1"/>
    </row>
    <row r="733" spans="2:2" x14ac:dyDescent="0.25">
      <c r="B733" s="1"/>
    </row>
    <row r="734" spans="2:2" x14ac:dyDescent="0.25">
      <c r="B734" s="1"/>
    </row>
    <row r="735" spans="2:2" x14ac:dyDescent="0.25">
      <c r="B735" s="1"/>
    </row>
    <row r="736" spans="2:2" x14ac:dyDescent="0.25">
      <c r="B736" s="1"/>
    </row>
    <row r="737" spans="2:2" x14ac:dyDescent="0.25">
      <c r="B737" s="1"/>
    </row>
    <row r="738" spans="2:2" x14ac:dyDescent="0.25">
      <c r="B738" s="1"/>
    </row>
    <row r="739" spans="2:2" x14ac:dyDescent="0.25">
      <c r="B739" s="1"/>
    </row>
    <row r="740" spans="2:2" x14ac:dyDescent="0.25">
      <c r="B740" s="1"/>
    </row>
    <row r="741" spans="2:2" x14ac:dyDescent="0.25">
      <c r="B741" s="1"/>
    </row>
    <row r="742" spans="2:2" x14ac:dyDescent="0.25">
      <c r="B742" s="1"/>
    </row>
    <row r="743" spans="2:2" x14ac:dyDescent="0.25">
      <c r="B743" s="1"/>
    </row>
    <row r="744" spans="2:2" x14ac:dyDescent="0.25">
      <c r="B744" s="1"/>
    </row>
    <row r="745" spans="2:2" x14ac:dyDescent="0.25">
      <c r="B745" s="1"/>
    </row>
    <row r="746" spans="2:2" x14ac:dyDescent="0.25">
      <c r="B746" s="1"/>
    </row>
    <row r="747" spans="2:2" x14ac:dyDescent="0.25">
      <c r="B747" s="1"/>
    </row>
    <row r="748" spans="2:2" x14ac:dyDescent="0.25">
      <c r="B748" s="1"/>
    </row>
    <row r="749" spans="2:2" x14ac:dyDescent="0.25">
      <c r="B749" s="1"/>
    </row>
    <row r="750" spans="2:2" x14ac:dyDescent="0.25">
      <c r="B750" s="1"/>
    </row>
    <row r="751" spans="2:2" x14ac:dyDescent="0.25">
      <c r="B751" s="1"/>
    </row>
    <row r="752" spans="2:2" x14ac:dyDescent="0.25">
      <c r="B752" s="1"/>
    </row>
    <row r="753" spans="2:2" x14ac:dyDescent="0.25">
      <c r="B753" s="1"/>
    </row>
    <row r="754" spans="2:2" x14ac:dyDescent="0.25">
      <c r="B754" s="1"/>
    </row>
    <row r="755" spans="2:2" x14ac:dyDescent="0.25">
      <c r="B755" s="1"/>
    </row>
    <row r="756" spans="2:2" x14ac:dyDescent="0.25">
      <c r="B756" s="1"/>
    </row>
    <row r="757" spans="2:2" x14ac:dyDescent="0.25">
      <c r="B757" s="1"/>
    </row>
    <row r="758" spans="2:2" x14ac:dyDescent="0.25">
      <c r="B758" s="1"/>
    </row>
    <row r="759" spans="2:2" x14ac:dyDescent="0.25">
      <c r="B759" s="1"/>
    </row>
    <row r="760" spans="2:2" x14ac:dyDescent="0.25">
      <c r="B760" s="1"/>
    </row>
    <row r="761" spans="2:2" x14ac:dyDescent="0.25">
      <c r="B761" s="1"/>
    </row>
    <row r="762" spans="2:2" x14ac:dyDescent="0.25">
      <c r="B762" s="1"/>
    </row>
    <row r="763" spans="2:2" x14ac:dyDescent="0.25">
      <c r="B763" s="1"/>
    </row>
    <row r="764" spans="2:2" x14ac:dyDescent="0.25">
      <c r="B764" s="1"/>
    </row>
    <row r="765" spans="2:2" x14ac:dyDescent="0.25">
      <c r="B765" s="1"/>
    </row>
    <row r="766" spans="2:2" x14ac:dyDescent="0.25">
      <c r="B766" s="1"/>
    </row>
    <row r="767" spans="2:2" x14ac:dyDescent="0.25">
      <c r="B767" s="1"/>
    </row>
    <row r="768" spans="2:2" x14ac:dyDescent="0.25">
      <c r="B768" s="1"/>
    </row>
    <row r="769" spans="2:2" x14ac:dyDescent="0.25">
      <c r="B769" s="1"/>
    </row>
    <row r="770" spans="2:2" x14ac:dyDescent="0.25">
      <c r="B770" s="1"/>
    </row>
    <row r="771" spans="2:2" x14ac:dyDescent="0.25">
      <c r="B771" s="1"/>
    </row>
    <row r="772" spans="2:2" x14ac:dyDescent="0.25">
      <c r="B772" s="1"/>
    </row>
    <row r="773" spans="2:2" x14ac:dyDescent="0.25">
      <c r="B773" s="1"/>
    </row>
    <row r="774" spans="2:2" x14ac:dyDescent="0.25">
      <c r="B774" s="1"/>
    </row>
    <row r="775" spans="2:2" x14ac:dyDescent="0.25">
      <c r="B775" s="1"/>
    </row>
    <row r="776" spans="2:2" x14ac:dyDescent="0.25">
      <c r="B776" s="1"/>
    </row>
    <row r="777" spans="2:2" x14ac:dyDescent="0.25">
      <c r="B777" s="1"/>
    </row>
    <row r="778" spans="2:2" x14ac:dyDescent="0.25">
      <c r="B778" s="1"/>
    </row>
    <row r="779" spans="2:2" x14ac:dyDescent="0.25">
      <c r="B779" s="1"/>
    </row>
    <row r="780" spans="2:2" x14ac:dyDescent="0.25">
      <c r="B780" s="1"/>
    </row>
    <row r="781" spans="2:2" x14ac:dyDescent="0.25">
      <c r="B781" s="1"/>
    </row>
    <row r="782" spans="2:2" x14ac:dyDescent="0.25">
      <c r="B782" s="1"/>
    </row>
    <row r="783" spans="2:2" x14ac:dyDescent="0.25">
      <c r="B783" s="1"/>
    </row>
    <row r="784" spans="2:2" x14ac:dyDescent="0.25">
      <c r="B784" s="1"/>
    </row>
    <row r="785" spans="2:2" x14ac:dyDescent="0.25">
      <c r="B785" s="1"/>
    </row>
    <row r="786" spans="2:2" x14ac:dyDescent="0.25">
      <c r="B786" s="1"/>
    </row>
    <row r="787" spans="2:2" x14ac:dyDescent="0.25">
      <c r="B787" s="1"/>
    </row>
    <row r="788" spans="2:2" x14ac:dyDescent="0.25">
      <c r="B788" s="1"/>
    </row>
    <row r="789" spans="2:2" x14ac:dyDescent="0.25">
      <c r="B789" s="1"/>
    </row>
    <row r="790" spans="2:2" x14ac:dyDescent="0.25">
      <c r="B790" s="1"/>
    </row>
    <row r="791" spans="2:2" x14ac:dyDescent="0.25">
      <c r="B791" s="1"/>
    </row>
    <row r="792" spans="2:2" x14ac:dyDescent="0.25">
      <c r="B792" s="1"/>
    </row>
    <row r="793" spans="2:2" x14ac:dyDescent="0.25">
      <c r="B793" s="1"/>
    </row>
    <row r="794" spans="2:2" x14ac:dyDescent="0.25">
      <c r="B794" s="1"/>
    </row>
    <row r="795" spans="2:2" x14ac:dyDescent="0.25">
      <c r="B795" s="1"/>
    </row>
    <row r="796" spans="2:2" x14ac:dyDescent="0.25">
      <c r="B796" s="1"/>
    </row>
    <row r="797" spans="2:2" x14ac:dyDescent="0.25">
      <c r="B797" s="1"/>
    </row>
    <row r="798" spans="2:2" x14ac:dyDescent="0.25">
      <c r="B798" s="1"/>
    </row>
    <row r="799" spans="2:2" x14ac:dyDescent="0.25">
      <c r="B799" s="1"/>
    </row>
    <row r="800" spans="2:2" x14ac:dyDescent="0.25">
      <c r="B800" s="1"/>
    </row>
    <row r="801" spans="2:2" x14ac:dyDescent="0.25">
      <c r="B801" s="1"/>
    </row>
    <row r="802" spans="2:2" x14ac:dyDescent="0.25">
      <c r="B802" s="1"/>
    </row>
    <row r="803" spans="2:2" x14ac:dyDescent="0.25">
      <c r="B803" s="1"/>
    </row>
    <row r="804" spans="2:2" x14ac:dyDescent="0.25">
      <c r="B804" s="1"/>
    </row>
    <row r="805" spans="2:2" x14ac:dyDescent="0.25">
      <c r="B805" s="1"/>
    </row>
    <row r="806" spans="2:2" x14ac:dyDescent="0.25">
      <c r="B806" s="1"/>
    </row>
    <row r="807" spans="2:2" x14ac:dyDescent="0.25">
      <c r="B807" s="1"/>
    </row>
    <row r="808" spans="2:2" x14ac:dyDescent="0.25">
      <c r="B808" s="1"/>
    </row>
    <row r="809" spans="2:2" x14ac:dyDescent="0.25">
      <c r="B809" s="1"/>
    </row>
    <row r="810" spans="2:2" x14ac:dyDescent="0.25">
      <c r="B810" s="1"/>
    </row>
    <row r="811" spans="2:2" x14ac:dyDescent="0.25">
      <c r="B811" s="1"/>
    </row>
    <row r="812" spans="2:2" x14ac:dyDescent="0.25">
      <c r="B812" s="1"/>
    </row>
    <row r="813" spans="2:2" x14ac:dyDescent="0.25">
      <c r="B813" s="1"/>
    </row>
    <row r="814" spans="2:2" x14ac:dyDescent="0.25">
      <c r="B814" s="1"/>
    </row>
    <row r="815" spans="2:2" x14ac:dyDescent="0.25">
      <c r="B815" s="1"/>
    </row>
    <row r="816" spans="2:2" x14ac:dyDescent="0.25">
      <c r="B816" s="1"/>
    </row>
    <row r="817" spans="2:2" x14ac:dyDescent="0.25">
      <c r="B817" s="1"/>
    </row>
    <row r="818" spans="2:2" x14ac:dyDescent="0.25">
      <c r="B818" s="1"/>
    </row>
    <row r="819" spans="2:2" x14ac:dyDescent="0.25">
      <c r="B819" s="1"/>
    </row>
    <row r="820" spans="2:2" x14ac:dyDescent="0.25">
      <c r="B820" s="1"/>
    </row>
    <row r="821" spans="2:2" x14ac:dyDescent="0.25">
      <c r="B821" s="1"/>
    </row>
    <row r="822" spans="2:2" x14ac:dyDescent="0.25">
      <c r="B822" s="1"/>
    </row>
    <row r="823" spans="2:2" x14ac:dyDescent="0.25">
      <c r="B823" s="1"/>
    </row>
    <row r="824" spans="2:2" x14ac:dyDescent="0.25">
      <c r="B824" s="1"/>
    </row>
    <row r="825" spans="2:2" x14ac:dyDescent="0.25">
      <c r="B825" s="1"/>
    </row>
    <row r="826" spans="2:2" x14ac:dyDescent="0.25">
      <c r="B826" s="1"/>
    </row>
    <row r="827" spans="2:2" x14ac:dyDescent="0.25">
      <c r="B827" s="1"/>
    </row>
    <row r="828" spans="2:2" x14ac:dyDescent="0.25">
      <c r="B828" s="1"/>
    </row>
    <row r="829" spans="2:2" x14ac:dyDescent="0.25">
      <c r="B829" s="1"/>
    </row>
    <row r="830" spans="2:2" x14ac:dyDescent="0.25">
      <c r="B830" s="1"/>
    </row>
    <row r="831" spans="2:2" x14ac:dyDescent="0.25">
      <c r="B831" s="1"/>
    </row>
    <row r="832" spans="2:2" x14ac:dyDescent="0.25">
      <c r="B832" s="1"/>
    </row>
    <row r="833" spans="2:2" x14ac:dyDescent="0.25">
      <c r="B833" s="1"/>
    </row>
    <row r="834" spans="2:2" x14ac:dyDescent="0.25">
      <c r="B834" s="1"/>
    </row>
    <row r="835" spans="2:2" x14ac:dyDescent="0.25">
      <c r="B835" s="1"/>
    </row>
    <row r="836" spans="2:2" x14ac:dyDescent="0.25">
      <c r="B836" s="1"/>
    </row>
    <row r="837" spans="2:2" x14ac:dyDescent="0.25">
      <c r="B837" s="1"/>
    </row>
    <row r="838" spans="2:2" x14ac:dyDescent="0.25">
      <c r="B838" s="1"/>
    </row>
    <row r="839" spans="2:2" x14ac:dyDescent="0.25">
      <c r="B839" s="1"/>
    </row>
    <row r="840" spans="2:2" x14ac:dyDescent="0.25">
      <c r="B840" s="1"/>
    </row>
    <row r="841" spans="2:2" x14ac:dyDescent="0.25">
      <c r="B841" s="1"/>
    </row>
    <row r="842" spans="2:2" x14ac:dyDescent="0.25">
      <c r="B842" s="1"/>
    </row>
    <row r="843" spans="2:2" x14ac:dyDescent="0.25">
      <c r="B843" s="1"/>
    </row>
    <row r="844" spans="2:2" x14ac:dyDescent="0.25">
      <c r="B844" s="1"/>
    </row>
    <row r="845" spans="2:2" x14ac:dyDescent="0.25">
      <c r="B845" s="1"/>
    </row>
    <row r="846" spans="2:2" x14ac:dyDescent="0.25">
      <c r="B846" s="1"/>
    </row>
    <row r="847" spans="2:2" x14ac:dyDescent="0.25">
      <c r="B847" s="1"/>
    </row>
    <row r="848" spans="2:2" x14ac:dyDescent="0.25">
      <c r="B848" s="1"/>
    </row>
    <row r="849" spans="2:2" x14ac:dyDescent="0.25">
      <c r="B849" s="1"/>
    </row>
    <row r="850" spans="2:2" x14ac:dyDescent="0.25">
      <c r="B850" s="1"/>
    </row>
    <row r="851" spans="2:2" x14ac:dyDescent="0.25">
      <c r="B851" s="1"/>
    </row>
    <row r="852" spans="2:2" x14ac:dyDescent="0.25">
      <c r="B852" s="1"/>
    </row>
    <row r="853" spans="2:2" x14ac:dyDescent="0.25">
      <c r="B853" s="1"/>
    </row>
    <row r="854" spans="2:2" x14ac:dyDescent="0.25">
      <c r="B854" s="1"/>
    </row>
    <row r="855" spans="2:2" x14ac:dyDescent="0.25">
      <c r="B855" s="1"/>
    </row>
    <row r="856" spans="2:2" x14ac:dyDescent="0.25">
      <c r="B856" s="1"/>
    </row>
    <row r="857" spans="2:2" x14ac:dyDescent="0.25">
      <c r="B857" s="1"/>
    </row>
    <row r="858" spans="2:2" x14ac:dyDescent="0.25">
      <c r="B858" s="1"/>
    </row>
    <row r="859" spans="2:2" x14ac:dyDescent="0.25">
      <c r="B859" s="1"/>
    </row>
    <row r="860" spans="2:2" x14ac:dyDescent="0.25">
      <c r="B860" s="1"/>
    </row>
    <row r="861" spans="2:2" x14ac:dyDescent="0.25">
      <c r="B861" s="1"/>
    </row>
    <row r="862" spans="2:2" x14ac:dyDescent="0.25">
      <c r="B862" s="1"/>
    </row>
    <row r="863" spans="2:2" x14ac:dyDescent="0.25">
      <c r="B863" s="1"/>
    </row>
    <row r="864" spans="2:2" x14ac:dyDescent="0.25">
      <c r="B864" s="1"/>
    </row>
    <row r="865" spans="2:2" x14ac:dyDescent="0.25">
      <c r="B865" s="1"/>
    </row>
    <row r="866" spans="2:2" x14ac:dyDescent="0.25">
      <c r="B866" s="1"/>
    </row>
    <row r="867" spans="2:2" x14ac:dyDescent="0.25">
      <c r="B867" s="1"/>
    </row>
    <row r="868" spans="2:2" x14ac:dyDescent="0.25">
      <c r="B868" s="1"/>
    </row>
    <row r="869" spans="2:2" x14ac:dyDescent="0.25">
      <c r="B869" s="1"/>
    </row>
    <row r="870" spans="2:2" x14ac:dyDescent="0.25">
      <c r="B870" s="1"/>
    </row>
    <row r="871" spans="2:2" x14ac:dyDescent="0.25">
      <c r="B871" s="1"/>
    </row>
    <row r="872" spans="2:2" x14ac:dyDescent="0.25">
      <c r="B872" s="1"/>
    </row>
    <row r="873" spans="2:2" x14ac:dyDescent="0.25">
      <c r="B873" s="1"/>
    </row>
    <row r="874" spans="2:2" x14ac:dyDescent="0.25">
      <c r="B874" s="1"/>
    </row>
    <row r="875" spans="2:2" x14ac:dyDescent="0.25">
      <c r="B875" s="1"/>
    </row>
    <row r="876" spans="2:2" x14ac:dyDescent="0.25">
      <c r="B876" s="1"/>
    </row>
    <row r="877" spans="2:2" x14ac:dyDescent="0.25">
      <c r="B877" s="1"/>
    </row>
    <row r="878" spans="2:2" x14ac:dyDescent="0.25">
      <c r="B878" s="1"/>
    </row>
    <row r="879" spans="2:2" x14ac:dyDescent="0.25">
      <c r="B879" s="1"/>
    </row>
    <row r="880" spans="2:2" x14ac:dyDescent="0.25">
      <c r="B880" s="1"/>
    </row>
    <row r="881" spans="2:2" x14ac:dyDescent="0.25">
      <c r="B881" s="1"/>
    </row>
    <row r="882" spans="2:2" x14ac:dyDescent="0.25">
      <c r="B882" s="1"/>
    </row>
    <row r="883" spans="2:2" x14ac:dyDescent="0.25">
      <c r="B883" s="1"/>
    </row>
    <row r="884" spans="2:2" x14ac:dyDescent="0.25">
      <c r="B884" s="1"/>
    </row>
    <row r="885" spans="2:2" x14ac:dyDescent="0.25">
      <c r="B885" s="1"/>
    </row>
    <row r="886" spans="2:2" x14ac:dyDescent="0.25">
      <c r="B886" s="1"/>
    </row>
    <row r="887" spans="2:2" x14ac:dyDescent="0.25">
      <c r="B887" s="1"/>
    </row>
    <row r="888" spans="2:2" x14ac:dyDescent="0.25">
      <c r="B888" s="1"/>
    </row>
    <row r="889" spans="2:2" x14ac:dyDescent="0.25">
      <c r="B889" s="1"/>
    </row>
    <row r="890" spans="2:2" x14ac:dyDescent="0.25">
      <c r="B890" s="1"/>
    </row>
    <row r="891" spans="2:2" x14ac:dyDescent="0.25">
      <c r="B891" s="1"/>
    </row>
    <row r="892" spans="2:2" x14ac:dyDescent="0.25">
      <c r="B892" s="1"/>
    </row>
    <row r="893" spans="2:2" x14ac:dyDescent="0.25">
      <c r="B893" s="1"/>
    </row>
    <row r="894" spans="2:2" x14ac:dyDescent="0.25">
      <c r="B894" s="1"/>
    </row>
    <row r="895" spans="2:2" x14ac:dyDescent="0.25">
      <c r="B895" s="1"/>
    </row>
    <row r="896" spans="2:2" x14ac:dyDescent="0.25">
      <c r="B896" s="1"/>
    </row>
    <row r="897" spans="2:2" x14ac:dyDescent="0.25">
      <c r="B897" s="1"/>
    </row>
    <row r="898" spans="2:2" x14ac:dyDescent="0.25">
      <c r="B898" s="1"/>
    </row>
    <row r="899" spans="2:2" x14ac:dyDescent="0.25">
      <c r="B899" s="1"/>
    </row>
    <row r="900" spans="2:2" x14ac:dyDescent="0.25">
      <c r="B900" s="1"/>
    </row>
    <row r="901" spans="2:2" x14ac:dyDescent="0.25">
      <c r="B901" s="1"/>
    </row>
    <row r="902" spans="2:2" x14ac:dyDescent="0.25">
      <c r="B902" s="1"/>
    </row>
    <row r="903" spans="2:2" x14ac:dyDescent="0.25">
      <c r="B903" s="1"/>
    </row>
    <row r="904" spans="2:2" x14ac:dyDescent="0.25">
      <c r="B904" s="1"/>
    </row>
    <row r="905" spans="2:2" x14ac:dyDescent="0.25">
      <c r="B905" s="1"/>
    </row>
    <row r="906" spans="2:2" x14ac:dyDescent="0.25">
      <c r="B906" s="1"/>
    </row>
    <row r="907" spans="2:2" x14ac:dyDescent="0.25">
      <c r="B907" s="1"/>
    </row>
    <row r="908" spans="2:2" x14ac:dyDescent="0.25">
      <c r="B908" s="1"/>
    </row>
    <row r="909" spans="2:2" x14ac:dyDescent="0.25">
      <c r="B909" s="1"/>
    </row>
    <row r="910" spans="2:2" x14ac:dyDescent="0.25">
      <c r="B910" s="1"/>
    </row>
    <row r="911" spans="2:2" x14ac:dyDescent="0.25">
      <c r="B911" s="1"/>
    </row>
    <row r="912" spans="2:2" x14ac:dyDescent="0.25">
      <c r="B912" s="1"/>
    </row>
    <row r="913" spans="2:2" x14ac:dyDescent="0.25">
      <c r="B913" s="1"/>
    </row>
    <row r="914" spans="2:2" x14ac:dyDescent="0.25">
      <c r="B914" s="1"/>
    </row>
    <row r="915" spans="2:2" x14ac:dyDescent="0.25">
      <c r="B915" s="1"/>
    </row>
    <row r="916" spans="2:2" x14ac:dyDescent="0.25">
      <c r="B916" s="1"/>
    </row>
    <row r="917" spans="2:2" x14ac:dyDescent="0.25">
      <c r="B917" s="1"/>
    </row>
    <row r="918" spans="2:2" x14ac:dyDescent="0.25">
      <c r="B918" s="1"/>
    </row>
    <row r="919" spans="2:2" x14ac:dyDescent="0.25">
      <c r="B919" s="1"/>
    </row>
    <row r="920" spans="2:2" x14ac:dyDescent="0.25">
      <c r="B920" s="1"/>
    </row>
    <row r="921" spans="2:2" x14ac:dyDescent="0.25">
      <c r="B921" s="1"/>
    </row>
    <row r="922" spans="2:2" x14ac:dyDescent="0.25">
      <c r="B922" s="1"/>
    </row>
    <row r="923" spans="2:2" x14ac:dyDescent="0.25">
      <c r="B923" s="1"/>
    </row>
    <row r="924" spans="2:2" x14ac:dyDescent="0.25">
      <c r="B924" s="1"/>
    </row>
    <row r="925" spans="2:2" x14ac:dyDescent="0.25">
      <c r="B925" s="1"/>
    </row>
    <row r="926" spans="2:2" x14ac:dyDescent="0.25">
      <c r="B926" s="1"/>
    </row>
    <row r="927" spans="2:2" x14ac:dyDescent="0.25">
      <c r="B927" s="1"/>
    </row>
    <row r="928" spans="2:2" x14ac:dyDescent="0.25">
      <c r="B928" s="1"/>
    </row>
    <row r="929" spans="2:2" x14ac:dyDescent="0.25">
      <c r="B929" s="1"/>
    </row>
    <row r="930" spans="2:2" x14ac:dyDescent="0.25">
      <c r="B930" s="1"/>
    </row>
    <row r="931" spans="2:2" x14ac:dyDescent="0.25">
      <c r="B931" s="1"/>
    </row>
    <row r="932" spans="2:2" x14ac:dyDescent="0.25">
      <c r="B932" s="1"/>
    </row>
    <row r="933" spans="2:2" x14ac:dyDescent="0.25">
      <c r="B933" s="1"/>
    </row>
    <row r="934" spans="2:2" x14ac:dyDescent="0.25">
      <c r="B934" s="1"/>
    </row>
    <row r="935" spans="2:2" x14ac:dyDescent="0.25">
      <c r="B935" s="1"/>
    </row>
    <row r="936" spans="2:2" x14ac:dyDescent="0.25">
      <c r="B936" s="1"/>
    </row>
    <row r="937" spans="2:2" x14ac:dyDescent="0.25">
      <c r="B937" s="1"/>
    </row>
    <row r="938" spans="2:2" x14ac:dyDescent="0.25">
      <c r="B938" s="1"/>
    </row>
    <row r="939" spans="2:2" x14ac:dyDescent="0.25">
      <c r="B939" s="1"/>
    </row>
    <row r="940" spans="2:2" x14ac:dyDescent="0.25">
      <c r="B940" s="1"/>
    </row>
    <row r="941" spans="2:2" x14ac:dyDescent="0.25">
      <c r="B941" s="1"/>
    </row>
    <row r="942" spans="2:2" x14ac:dyDescent="0.25">
      <c r="B942" s="1"/>
    </row>
    <row r="943" spans="2:2" x14ac:dyDescent="0.25">
      <c r="B943" s="1"/>
    </row>
    <row r="944" spans="2:2" x14ac:dyDescent="0.25">
      <c r="B944" s="1"/>
    </row>
    <row r="945" spans="2:2" x14ac:dyDescent="0.25">
      <c r="B945" s="1"/>
    </row>
    <row r="946" spans="2:2" x14ac:dyDescent="0.25">
      <c r="B946" s="1"/>
    </row>
    <row r="947" spans="2:2" x14ac:dyDescent="0.25">
      <c r="B947" s="1"/>
    </row>
    <row r="948" spans="2:2" x14ac:dyDescent="0.25">
      <c r="B948" s="1"/>
    </row>
    <row r="949" spans="2:2" x14ac:dyDescent="0.25">
      <c r="B949" s="1"/>
    </row>
    <row r="950" spans="2:2" x14ac:dyDescent="0.25">
      <c r="B950" s="1"/>
    </row>
    <row r="951" spans="2:2" x14ac:dyDescent="0.25">
      <c r="B951" s="1"/>
    </row>
    <row r="952" spans="2:2" x14ac:dyDescent="0.25">
      <c r="B952" s="1"/>
    </row>
    <row r="953" spans="2:2" x14ac:dyDescent="0.25">
      <c r="B953" s="1"/>
    </row>
    <row r="954" spans="2:2" x14ac:dyDescent="0.25">
      <c r="B954" s="1"/>
    </row>
    <row r="955" spans="2:2" x14ac:dyDescent="0.25">
      <c r="B955" s="1"/>
    </row>
    <row r="956" spans="2:2" x14ac:dyDescent="0.25">
      <c r="B956" s="1"/>
    </row>
    <row r="957" spans="2:2" x14ac:dyDescent="0.25">
      <c r="B957" s="1"/>
    </row>
    <row r="958" spans="2:2" x14ac:dyDescent="0.25">
      <c r="B958" s="1"/>
    </row>
    <row r="959" spans="2:2" x14ac:dyDescent="0.25">
      <c r="B959" s="1"/>
    </row>
    <row r="960" spans="2:2" x14ac:dyDescent="0.25">
      <c r="B960" s="1"/>
    </row>
    <row r="961" spans="2:2" x14ac:dyDescent="0.25">
      <c r="B961" s="1"/>
    </row>
    <row r="962" spans="2:2" x14ac:dyDescent="0.25">
      <c r="B962" s="1"/>
    </row>
    <row r="963" spans="2:2" x14ac:dyDescent="0.25">
      <c r="B963" s="1"/>
    </row>
    <row r="964" spans="2:2" x14ac:dyDescent="0.25">
      <c r="B964" s="1"/>
    </row>
    <row r="965" spans="2:2" x14ac:dyDescent="0.25">
      <c r="B965" s="1"/>
    </row>
    <row r="966" spans="2:2" x14ac:dyDescent="0.25">
      <c r="B966" s="1"/>
    </row>
    <row r="967" spans="2:2" x14ac:dyDescent="0.25">
      <c r="B967" s="1"/>
    </row>
    <row r="968" spans="2:2" x14ac:dyDescent="0.25">
      <c r="B968" s="1"/>
    </row>
    <row r="969" spans="2:2" x14ac:dyDescent="0.25">
      <c r="B969" s="1"/>
    </row>
    <row r="970" spans="2:2" x14ac:dyDescent="0.25">
      <c r="B970" s="1"/>
    </row>
    <row r="971" spans="2:2" x14ac:dyDescent="0.25">
      <c r="B971" s="1"/>
    </row>
    <row r="972" spans="2:2" x14ac:dyDescent="0.25">
      <c r="B972" s="1"/>
    </row>
    <row r="973" spans="2:2" x14ac:dyDescent="0.25">
      <c r="B973" s="1"/>
    </row>
    <row r="974" spans="2:2" x14ac:dyDescent="0.25">
      <c r="B974" s="1"/>
    </row>
    <row r="975" spans="2:2" x14ac:dyDescent="0.25">
      <c r="B975" s="1"/>
    </row>
    <row r="976" spans="2:2" x14ac:dyDescent="0.25">
      <c r="B976" s="1"/>
    </row>
    <row r="977" spans="2:2" x14ac:dyDescent="0.25">
      <c r="B977" s="1"/>
    </row>
    <row r="978" spans="2:2" x14ac:dyDescent="0.25">
      <c r="B978" s="1"/>
    </row>
    <row r="979" spans="2:2" x14ac:dyDescent="0.25">
      <c r="B979" s="1"/>
    </row>
    <row r="980" spans="2:2" x14ac:dyDescent="0.25">
      <c r="B980" s="1"/>
    </row>
    <row r="981" spans="2:2" x14ac:dyDescent="0.25">
      <c r="B981" s="1"/>
    </row>
    <row r="982" spans="2:2" x14ac:dyDescent="0.25">
      <c r="B982" s="1"/>
    </row>
    <row r="983" spans="2:2" x14ac:dyDescent="0.25">
      <c r="B983" s="1"/>
    </row>
    <row r="984" spans="2:2" x14ac:dyDescent="0.25">
      <c r="B984" s="1"/>
    </row>
    <row r="985" spans="2:2" x14ac:dyDescent="0.25">
      <c r="B985" s="1"/>
    </row>
    <row r="986" spans="2:2" x14ac:dyDescent="0.25">
      <c r="B986" s="1"/>
    </row>
    <row r="987" spans="2:2" x14ac:dyDescent="0.25">
      <c r="B987" s="1"/>
    </row>
    <row r="988" spans="2:2" x14ac:dyDescent="0.25">
      <c r="B988" s="1"/>
    </row>
    <row r="989" spans="2:2" x14ac:dyDescent="0.25">
      <c r="B989" s="1"/>
    </row>
    <row r="990" spans="2:2" x14ac:dyDescent="0.25">
      <c r="B990" s="1"/>
    </row>
    <row r="991" spans="2:2" x14ac:dyDescent="0.25">
      <c r="B991" s="1"/>
    </row>
    <row r="992" spans="2:2" x14ac:dyDescent="0.25">
      <c r="B992" s="1"/>
    </row>
    <row r="993" spans="2:2" x14ac:dyDescent="0.25">
      <c r="B993" s="1"/>
    </row>
    <row r="994" spans="2:2" x14ac:dyDescent="0.25">
      <c r="B994" s="1"/>
    </row>
    <row r="995" spans="2:2" x14ac:dyDescent="0.25">
      <c r="B995" s="1"/>
    </row>
    <row r="996" spans="2:2" x14ac:dyDescent="0.25">
      <c r="B996" s="1"/>
    </row>
    <row r="997" spans="2:2" x14ac:dyDescent="0.25">
      <c r="B997" s="1"/>
    </row>
    <row r="998" spans="2:2" x14ac:dyDescent="0.25">
      <c r="B998" s="1"/>
    </row>
    <row r="999" spans="2:2" x14ac:dyDescent="0.25">
      <c r="B999" s="1"/>
    </row>
    <row r="1000" spans="2:2" x14ac:dyDescent="0.25">
      <c r="B1000" s="1"/>
    </row>
  </sheetData>
  <mergeCells count="2">
    <mergeCell ref="G1:J1"/>
    <mergeCell ref="G5:J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1" r:id="rId3" name="TextBox1">
          <controlPr defaultSize="0" autoLine="0" r:id="rId4">
            <anchor moveWithCells="1">
              <from>
                <xdr:col>6</xdr:col>
                <xdr:colOff>361950</xdr:colOff>
                <xdr:row>1</xdr:row>
                <xdr:rowOff>114300</xdr:rowOff>
              </from>
              <to>
                <xdr:col>9</xdr:col>
                <xdr:colOff>0</xdr:colOff>
                <xdr:row>3</xdr:row>
                <xdr:rowOff>85725</xdr:rowOff>
              </to>
            </anchor>
          </controlPr>
        </control>
      </mc:Choice>
      <mc:Fallback>
        <control shapeId="7171" r:id="rId3" name="TextBox1"/>
      </mc:Fallback>
    </mc:AlternateContent>
    <mc:AlternateContent xmlns:mc="http://schemas.openxmlformats.org/markup-compatibility/2006">
      <mc:Choice Requires="x14">
        <control shapeId="7172" r:id="rId5" name="ListBox1">
          <controlPr autoLine="0" r:id="rId6">
            <anchor moveWithCells="1">
              <from>
                <xdr:col>6</xdr:col>
                <xdr:colOff>323850</xdr:colOff>
                <xdr:row>5</xdr:row>
                <xdr:rowOff>180975</xdr:rowOff>
              </from>
              <to>
                <xdr:col>9</xdr:col>
                <xdr:colOff>666750</xdr:colOff>
                <xdr:row>14</xdr:row>
                <xdr:rowOff>47625</xdr:rowOff>
              </to>
            </anchor>
          </controlPr>
        </control>
      </mc:Choice>
      <mc:Fallback>
        <control shapeId="7172" r:id="rId5" name="ListBox1"/>
      </mc:Fallback>
    </mc:AlternateContent>
  </controls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Matieres"/>
  <dimension ref="A1:D39"/>
  <sheetViews>
    <sheetView topLeftCell="A10" workbookViewId="0">
      <selection activeCell="A21" sqref="A21"/>
    </sheetView>
  </sheetViews>
  <sheetFormatPr baseColWidth="10" defaultRowHeight="15" x14ac:dyDescent="0.25"/>
  <cols>
    <col min="1" max="1" width="22" customWidth="1"/>
    <col min="2" max="2" width="15.42578125" customWidth="1"/>
    <col min="3" max="3" width="18" customWidth="1"/>
  </cols>
  <sheetData>
    <row r="1" spans="1:4" x14ac:dyDescent="0.25">
      <c r="A1" t="s">
        <v>2</v>
      </c>
      <c r="B1" t="s">
        <v>81</v>
      </c>
      <c r="C1" t="s">
        <v>6</v>
      </c>
      <c r="D1" t="s">
        <v>1</v>
      </c>
    </row>
    <row r="2" spans="1:4" x14ac:dyDescent="0.25">
      <c r="A2" t="s">
        <v>17</v>
      </c>
      <c r="B2">
        <v>3</v>
      </c>
      <c r="C2">
        <v>2</v>
      </c>
      <c r="D2" t="s">
        <v>7</v>
      </c>
    </row>
    <row r="3" spans="1:4" x14ac:dyDescent="0.25">
      <c r="A3" t="s">
        <v>18</v>
      </c>
      <c r="B3">
        <v>3</v>
      </c>
      <c r="C3">
        <v>2</v>
      </c>
      <c r="D3" t="s">
        <v>7</v>
      </c>
    </row>
    <row r="4" spans="1:4" x14ac:dyDescent="0.25">
      <c r="A4" t="s">
        <v>14</v>
      </c>
      <c r="B4">
        <v>3</v>
      </c>
      <c r="C4">
        <v>1</v>
      </c>
      <c r="D4" t="s">
        <v>7</v>
      </c>
    </row>
    <row r="5" spans="1:4" x14ac:dyDescent="0.25">
      <c r="A5" t="s">
        <v>19</v>
      </c>
      <c r="B5">
        <v>2</v>
      </c>
      <c r="C5">
        <v>2</v>
      </c>
      <c r="D5" t="s">
        <v>7</v>
      </c>
    </row>
    <row r="6" spans="1:4" x14ac:dyDescent="0.25">
      <c r="A6" t="s">
        <v>20</v>
      </c>
      <c r="B6">
        <v>2</v>
      </c>
      <c r="C6">
        <v>2</v>
      </c>
      <c r="D6" t="s">
        <v>7</v>
      </c>
    </row>
    <row r="7" spans="1:4" x14ac:dyDescent="0.25">
      <c r="A7" t="s">
        <v>21</v>
      </c>
      <c r="B7">
        <v>3</v>
      </c>
      <c r="C7">
        <v>2</v>
      </c>
      <c r="D7" t="s">
        <v>7</v>
      </c>
    </row>
    <row r="8" spans="1:4" x14ac:dyDescent="0.25">
      <c r="A8" t="s">
        <v>22</v>
      </c>
      <c r="B8">
        <v>2</v>
      </c>
      <c r="C8">
        <v>2</v>
      </c>
      <c r="D8" t="s">
        <v>7</v>
      </c>
    </row>
    <row r="9" spans="1:4" x14ac:dyDescent="0.25">
      <c r="A9" t="s">
        <v>23</v>
      </c>
      <c r="B9">
        <v>3</v>
      </c>
      <c r="C9">
        <v>2</v>
      </c>
      <c r="D9" t="s">
        <v>7</v>
      </c>
    </row>
    <row r="10" spans="1:4" x14ac:dyDescent="0.25">
      <c r="A10" t="s">
        <v>24</v>
      </c>
      <c r="B10">
        <v>2</v>
      </c>
      <c r="C10">
        <v>2</v>
      </c>
      <c r="D10" t="s">
        <v>7</v>
      </c>
    </row>
    <row r="11" spans="1:4" x14ac:dyDescent="0.25">
      <c r="A11" t="s">
        <v>25</v>
      </c>
      <c r="B11">
        <v>2</v>
      </c>
      <c r="C11">
        <v>1</v>
      </c>
      <c r="D11" t="s">
        <v>7</v>
      </c>
    </row>
    <row r="12" spans="1:4" x14ac:dyDescent="0.25">
      <c r="A12" t="s">
        <v>26</v>
      </c>
      <c r="B12">
        <v>2</v>
      </c>
      <c r="C12">
        <v>1</v>
      </c>
      <c r="D12" t="s">
        <v>7</v>
      </c>
    </row>
    <row r="13" spans="1:4" x14ac:dyDescent="0.25">
      <c r="A13" t="s">
        <v>27</v>
      </c>
      <c r="B13">
        <v>2</v>
      </c>
      <c r="C13">
        <v>1</v>
      </c>
      <c r="D13" t="s">
        <v>7</v>
      </c>
    </row>
    <row r="14" spans="1:4" x14ac:dyDescent="0.25">
      <c r="A14" t="s">
        <v>28</v>
      </c>
      <c r="B14">
        <v>2</v>
      </c>
      <c r="C14">
        <v>1</v>
      </c>
      <c r="D14" t="s">
        <v>7</v>
      </c>
    </row>
    <row r="15" spans="1:4" x14ac:dyDescent="0.25">
      <c r="A15" t="s">
        <v>29</v>
      </c>
      <c r="B15">
        <v>2</v>
      </c>
      <c r="C15">
        <v>1</v>
      </c>
      <c r="D15" t="s">
        <v>7</v>
      </c>
    </row>
    <row r="16" spans="1:4" x14ac:dyDescent="0.25">
      <c r="A16" t="s">
        <v>30</v>
      </c>
      <c r="B16">
        <v>2</v>
      </c>
      <c r="C16">
        <v>1</v>
      </c>
      <c r="D16" t="s">
        <v>7</v>
      </c>
    </row>
    <row r="17" spans="1:4" x14ac:dyDescent="0.25">
      <c r="A17" t="s">
        <v>31</v>
      </c>
      <c r="B17">
        <v>3</v>
      </c>
      <c r="C17">
        <v>1</v>
      </c>
      <c r="D17" t="s">
        <v>7</v>
      </c>
    </row>
    <row r="18" spans="1:4" x14ac:dyDescent="0.25">
      <c r="A18" t="s">
        <v>32</v>
      </c>
      <c r="B18">
        <v>2</v>
      </c>
      <c r="C18">
        <v>1</v>
      </c>
      <c r="D18" t="s">
        <v>7</v>
      </c>
    </row>
    <row r="19" spans="1:4" x14ac:dyDescent="0.25">
      <c r="A19" t="s">
        <v>33</v>
      </c>
      <c r="B19">
        <v>2</v>
      </c>
      <c r="C19">
        <v>1</v>
      </c>
      <c r="D19" t="s">
        <v>7</v>
      </c>
    </row>
    <row r="20" spans="1:4" x14ac:dyDescent="0.25">
      <c r="A20" t="s">
        <v>34</v>
      </c>
      <c r="B20">
        <v>2</v>
      </c>
      <c r="C20">
        <v>1</v>
      </c>
      <c r="D20" t="s">
        <v>7</v>
      </c>
    </row>
    <row r="21" spans="1:4" x14ac:dyDescent="0.25">
      <c r="A21" t="s">
        <v>72</v>
      </c>
      <c r="B21">
        <v>3</v>
      </c>
      <c r="C21">
        <v>1</v>
      </c>
      <c r="D21" t="s">
        <v>7</v>
      </c>
    </row>
    <row r="22" spans="1:4" x14ac:dyDescent="0.25">
      <c r="A22" t="s">
        <v>73</v>
      </c>
      <c r="B22">
        <v>2</v>
      </c>
      <c r="C22">
        <v>1</v>
      </c>
      <c r="D22" t="s">
        <v>7</v>
      </c>
    </row>
    <row r="23" spans="1:4" x14ac:dyDescent="0.25">
      <c r="A23" t="s">
        <v>74</v>
      </c>
      <c r="B23">
        <v>2</v>
      </c>
      <c r="C23">
        <v>1</v>
      </c>
      <c r="D23" t="s">
        <v>7</v>
      </c>
    </row>
    <row r="24" spans="1:4" x14ac:dyDescent="0.25">
      <c r="A24" t="s">
        <v>75</v>
      </c>
      <c r="B24">
        <v>2</v>
      </c>
      <c r="C24">
        <v>1</v>
      </c>
      <c r="D24" t="s">
        <v>7</v>
      </c>
    </row>
    <row r="25" spans="1:4" x14ac:dyDescent="0.25">
      <c r="A25" t="s">
        <v>76</v>
      </c>
      <c r="B25">
        <v>2</v>
      </c>
      <c r="C25">
        <v>1</v>
      </c>
      <c r="D25" t="s">
        <v>7</v>
      </c>
    </row>
    <row r="26" spans="1:4" x14ac:dyDescent="0.25">
      <c r="A26" t="s">
        <v>77</v>
      </c>
      <c r="B26">
        <v>3</v>
      </c>
      <c r="C26">
        <v>1</v>
      </c>
      <c r="D26" t="s">
        <v>7</v>
      </c>
    </row>
    <row r="27" spans="1:4" x14ac:dyDescent="0.25">
      <c r="A27" t="s">
        <v>97</v>
      </c>
      <c r="B27">
        <v>3</v>
      </c>
      <c r="C27">
        <v>2</v>
      </c>
      <c r="D27" t="s">
        <v>8</v>
      </c>
    </row>
    <row r="28" spans="1:4" x14ac:dyDescent="0.25">
      <c r="A28" t="s">
        <v>98</v>
      </c>
      <c r="B28">
        <v>3</v>
      </c>
      <c r="C28">
        <v>2</v>
      </c>
      <c r="D28" t="s">
        <v>8</v>
      </c>
    </row>
    <row r="29" spans="1:4" x14ac:dyDescent="0.25">
      <c r="A29" t="s">
        <v>99</v>
      </c>
      <c r="B29">
        <v>3</v>
      </c>
      <c r="C29">
        <v>2</v>
      </c>
      <c r="D29" t="s">
        <v>8</v>
      </c>
    </row>
    <row r="30" spans="1:4" x14ac:dyDescent="0.25">
      <c r="A30" t="s">
        <v>100</v>
      </c>
      <c r="B30">
        <v>2</v>
      </c>
      <c r="C30">
        <v>2</v>
      </c>
      <c r="D30" t="s">
        <v>8</v>
      </c>
    </row>
    <row r="31" spans="1:4" x14ac:dyDescent="0.25">
      <c r="A31" t="s">
        <v>101</v>
      </c>
      <c r="B31">
        <v>3</v>
      </c>
      <c r="C31">
        <v>2</v>
      </c>
      <c r="D31" t="s">
        <v>8</v>
      </c>
    </row>
    <row r="32" spans="1:4" x14ac:dyDescent="0.25">
      <c r="A32" t="s">
        <v>102</v>
      </c>
      <c r="B32">
        <v>2</v>
      </c>
      <c r="C32">
        <v>2</v>
      </c>
      <c r="D32" t="s">
        <v>8</v>
      </c>
    </row>
    <row r="33" spans="1:4" x14ac:dyDescent="0.25">
      <c r="A33" t="s">
        <v>103</v>
      </c>
      <c r="B33">
        <v>2</v>
      </c>
      <c r="C33">
        <v>2</v>
      </c>
      <c r="D33" t="s">
        <v>8</v>
      </c>
    </row>
    <row r="34" spans="1:4" x14ac:dyDescent="0.25">
      <c r="A34" t="s">
        <v>104</v>
      </c>
      <c r="B34">
        <v>3</v>
      </c>
      <c r="C34">
        <v>2</v>
      </c>
      <c r="D34" t="s">
        <v>9</v>
      </c>
    </row>
    <row r="35" spans="1:4" x14ac:dyDescent="0.25">
      <c r="A35" t="s">
        <v>105</v>
      </c>
      <c r="B35">
        <v>2</v>
      </c>
      <c r="C35">
        <v>2</v>
      </c>
      <c r="D35" t="s">
        <v>9</v>
      </c>
    </row>
    <row r="36" spans="1:4" x14ac:dyDescent="0.25">
      <c r="A36" t="s">
        <v>106</v>
      </c>
      <c r="B36">
        <v>3</v>
      </c>
      <c r="C36">
        <v>2</v>
      </c>
      <c r="D36" t="s">
        <v>9</v>
      </c>
    </row>
    <row r="37" spans="1:4" x14ac:dyDescent="0.25">
      <c r="A37" t="s">
        <v>107</v>
      </c>
      <c r="B37">
        <v>3</v>
      </c>
      <c r="C37">
        <v>2</v>
      </c>
      <c r="D37" t="s">
        <v>9</v>
      </c>
    </row>
    <row r="38" spans="1:4" x14ac:dyDescent="0.25">
      <c r="A38" t="s">
        <v>108</v>
      </c>
      <c r="B38">
        <v>3</v>
      </c>
      <c r="C38">
        <v>2</v>
      </c>
      <c r="D38" t="s">
        <v>9</v>
      </c>
    </row>
    <row r="39" spans="1:4" x14ac:dyDescent="0.25">
      <c r="A39" t="s">
        <v>109</v>
      </c>
      <c r="B39">
        <v>3</v>
      </c>
      <c r="C39">
        <v>2</v>
      </c>
      <c r="D39" t="s">
        <v>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notes"/>
  <dimension ref="A1:F1019"/>
  <sheetViews>
    <sheetView workbookViewId="0">
      <selection activeCell="F2" sqref="F2"/>
    </sheetView>
  </sheetViews>
  <sheetFormatPr baseColWidth="10" defaultRowHeight="15" x14ac:dyDescent="0.25"/>
  <cols>
    <col min="1" max="1" width="21.5703125" customWidth="1"/>
    <col min="2" max="2" width="29.5703125" customWidth="1"/>
    <col min="3" max="3" width="28.85546875" customWidth="1"/>
    <col min="4" max="4" width="14.140625" customWidth="1"/>
  </cols>
  <sheetData>
    <row r="1" spans="1:6" x14ac:dyDescent="0.25">
      <c r="A1" t="s">
        <v>35</v>
      </c>
      <c r="B1" t="s">
        <v>36</v>
      </c>
      <c r="C1" t="s">
        <v>2</v>
      </c>
      <c r="D1" t="s">
        <v>78</v>
      </c>
      <c r="E1" t="s">
        <v>79</v>
      </c>
      <c r="F1" t="s">
        <v>80</v>
      </c>
    </row>
    <row r="2" spans="1:6" x14ac:dyDescent="0.25">
      <c r="A2" t="s">
        <v>58</v>
      </c>
      <c r="B2" t="s">
        <v>59</v>
      </c>
      <c r="C2" t="s">
        <v>17</v>
      </c>
      <c r="D2">
        <v>15</v>
      </c>
      <c r="E2">
        <v>14</v>
      </c>
      <c r="F2">
        <f>(Note[[#This Row],[Note CC]]+Note[[#This Row],[Note SN]])/2</f>
        <v>14.5</v>
      </c>
    </row>
    <row r="3" spans="1:6" x14ac:dyDescent="0.25">
      <c r="A3" t="s">
        <v>82</v>
      </c>
      <c r="B3" t="s">
        <v>83</v>
      </c>
      <c r="C3" t="s">
        <v>17</v>
      </c>
      <c r="D3">
        <v>12</v>
      </c>
      <c r="E3">
        <v>14</v>
      </c>
      <c r="F3">
        <f>(Note[[#This Row],[Note CC]]+Note[[#This Row],[Note SN]])/2</f>
        <v>13</v>
      </c>
    </row>
    <row r="4" spans="1:6" x14ac:dyDescent="0.25">
      <c r="A4" t="s">
        <v>58</v>
      </c>
      <c r="B4" t="s">
        <v>59</v>
      </c>
      <c r="C4" t="s">
        <v>18</v>
      </c>
      <c r="D4">
        <v>12</v>
      </c>
      <c r="E4">
        <v>10</v>
      </c>
      <c r="F4">
        <f>(Note[[#This Row],[Note CC]]+Note[[#This Row],[Note SN]])/2</f>
        <v>11</v>
      </c>
    </row>
    <row r="5" spans="1:6" x14ac:dyDescent="0.25">
      <c r="A5" t="s">
        <v>58</v>
      </c>
      <c r="B5" t="s">
        <v>59</v>
      </c>
      <c r="C5" t="s">
        <v>14</v>
      </c>
      <c r="D5">
        <v>8</v>
      </c>
      <c r="E5">
        <v>12</v>
      </c>
      <c r="F5">
        <f>(Note[[#This Row],[Note CC]]+Note[[#This Row],[Note SN]])/2</f>
        <v>10</v>
      </c>
    </row>
    <row r="6" spans="1:6" x14ac:dyDescent="0.25">
      <c r="A6" t="s">
        <v>58</v>
      </c>
      <c r="B6" t="s">
        <v>59</v>
      </c>
      <c r="C6" t="s">
        <v>19</v>
      </c>
      <c r="D6">
        <v>12</v>
      </c>
      <c r="E6">
        <v>10</v>
      </c>
      <c r="F6">
        <f>(Note[[#This Row],[Note CC]]+Note[[#This Row],[Note SN]])/2</f>
        <v>11</v>
      </c>
    </row>
    <row r="7" spans="1:6" x14ac:dyDescent="0.25">
      <c r="A7" t="s">
        <v>84</v>
      </c>
      <c r="B7" t="s">
        <v>85</v>
      </c>
      <c r="C7" t="s">
        <v>17</v>
      </c>
      <c r="D7">
        <v>11</v>
      </c>
      <c r="E7">
        <v>9</v>
      </c>
      <c r="F7">
        <f>(Note[[#This Row],[Note CC]]+Note[[#This Row],[Note SN]])/2</f>
        <v>10</v>
      </c>
    </row>
    <row r="8" spans="1:6" x14ac:dyDescent="0.25">
      <c r="A8" t="s">
        <v>58</v>
      </c>
      <c r="B8" t="s">
        <v>59</v>
      </c>
      <c r="C8" t="s">
        <v>20</v>
      </c>
      <c r="D8">
        <v>11</v>
      </c>
      <c r="E8">
        <v>14</v>
      </c>
      <c r="F8">
        <f>(Note[[#This Row],[Note CC]]+Note[[#This Row],[Note SN]])/2</f>
        <v>12.5</v>
      </c>
    </row>
    <row r="9" spans="1:6" x14ac:dyDescent="0.25">
      <c r="A9" t="s">
        <v>58</v>
      </c>
      <c r="B9" t="s">
        <v>59</v>
      </c>
      <c r="C9" t="s">
        <v>21</v>
      </c>
      <c r="D9">
        <v>13</v>
      </c>
      <c r="E9">
        <v>10</v>
      </c>
      <c r="F9">
        <f>(Note[[#This Row],[Note CC]]+Note[[#This Row],[Note SN]])/2</f>
        <v>11.5</v>
      </c>
    </row>
    <row r="10" spans="1:6" x14ac:dyDescent="0.25">
      <c r="A10" t="s">
        <v>86</v>
      </c>
      <c r="B10" t="s">
        <v>87</v>
      </c>
      <c r="C10" t="s">
        <v>17</v>
      </c>
      <c r="D10">
        <v>12</v>
      </c>
      <c r="E10">
        <v>12</v>
      </c>
      <c r="F10">
        <f>(Note[[#This Row],[Note CC]]+Note[[#This Row],[Note SN]])/2</f>
        <v>12</v>
      </c>
    </row>
    <row r="11" spans="1:6" x14ac:dyDescent="0.25">
      <c r="A11" t="s">
        <v>58</v>
      </c>
      <c r="B11" t="s">
        <v>59</v>
      </c>
      <c r="C11" t="s">
        <v>22</v>
      </c>
      <c r="D11">
        <v>18</v>
      </c>
      <c r="E11">
        <v>17</v>
      </c>
      <c r="F11">
        <f>(Note[[#This Row],[Note CC]]+Note[[#This Row],[Note SN]])/2</f>
        <v>17.5</v>
      </c>
    </row>
    <row r="12" spans="1:6" x14ac:dyDescent="0.25">
      <c r="A12" t="s">
        <v>88</v>
      </c>
      <c r="B12" t="s">
        <v>89</v>
      </c>
      <c r="C12" t="s">
        <v>17</v>
      </c>
      <c r="D12">
        <v>14</v>
      </c>
      <c r="E12">
        <v>10</v>
      </c>
      <c r="F12">
        <f>(Note[[#This Row],[Note CC]]+Note[[#This Row],[Note SN]])/2</f>
        <v>12</v>
      </c>
    </row>
    <row r="13" spans="1:6" x14ac:dyDescent="0.25">
      <c r="A13" t="s">
        <v>58</v>
      </c>
      <c r="B13" t="s">
        <v>59</v>
      </c>
      <c r="C13" t="s">
        <v>23</v>
      </c>
      <c r="D13">
        <v>11</v>
      </c>
      <c r="E13">
        <v>12</v>
      </c>
      <c r="F13">
        <f>(Note[[#This Row],[Note CC]]+Note[[#This Row],[Note SN]])/2</f>
        <v>11.5</v>
      </c>
    </row>
    <row r="14" spans="1:6" x14ac:dyDescent="0.25">
      <c r="A14" t="s">
        <v>58</v>
      </c>
      <c r="B14" t="s">
        <v>59</v>
      </c>
      <c r="C14" t="s">
        <v>24</v>
      </c>
      <c r="D14">
        <v>9</v>
      </c>
      <c r="E14">
        <v>15</v>
      </c>
      <c r="F14">
        <f>(Note[[#This Row],[Note CC]]+Note[[#This Row],[Note SN]])/2</f>
        <v>12</v>
      </c>
    </row>
    <row r="15" spans="1:6" x14ac:dyDescent="0.25">
      <c r="A15" t="s">
        <v>58</v>
      </c>
      <c r="B15" t="s">
        <v>59</v>
      </c>
      <c r="C15" t="s">
        <v>25</v>
      </c>
      <c r="D15">
        <v>19</v>
      </c>
      <c r="E15">
        <v>14</v>
      </c>
      <c r="F15">
        <f>(Note[[#This Row],[Note CC]]+Note[[#This Row],[Note SN]])/2</f>
        <v>16.5</v>
      </c>
    </row>
    <row r="16" spans="1:6" x14ac:dyDescent="0.25">
      <c r="A16" t="s">
        <v>58</v>
      </c>
      <c r="B16" t="s">
        <v>59</v>
      </c>
      <c r="C16" t="s">
        <v>26</v>
      </c>
      <c r="D16">
        <v>8</v>
      </c>
      <c r="E16">
        <v>10</v>
      </c>
      <c r="F16">
        <f>(Note[[#This Row],[Note CC]]+Note[[#This Row],[Note SN]])/2</f>
        <v>9</v>
      </c>
    </row>
    <row r="17" spans="1:6" x14ac:dyDescent="0.25">
      <c r="A17" t="s">
        <v>58</v>
      </c>
      <c r="B17" t="s">
        <v>59</v>
      </c>
      <c r="C17" t="s">
        <v>27</v>
      </c>
      <c r="D17">
        <v>14</v>
      </c>
      <c r="E17">
        <v>15</v>
      </c>
      <c r="F17">
        <f>(Note[[#This Row],[Note CC]]+Note[[#This Row],[Note SN]])/2</f>
        <v>14.5</v>
      </c>
    </row>
    <row r="18" spans="1:6" x14ac:dyDescent="0.25">
      <c r="A18" t="s">
        <v>58</v>
      </c>
      <c r="B18" t="s">
        <v>59</v>
      </c>
      <c r="C18" t="s">
        <v>28</v>
      </c>
      <c r="D18">
        <v>6</v>
      </c>
      <c r="E18">
        <v>10</v>
      </c>
      <c r="F18">
        <f>(Note[[#This Row],[Note CC]]+Note[[#This Row],[Note SN]])/2</f>
        <v>8</v>
      </c>
    </row>
    <row r="19" spans="1:6" x14ac:dyDescent="0.25">
      <c r="A19" t="s">
        <v>58</v>
      </c>
      <c r="B19" t="s">
        <v>59</v>
      </c>
      <c r="C19" t="s">
        <v>29</v>
      </c>
      <c r="D19">
        <v>18</v>
      </c>
      <c r="E19">
        <v>14</v>
      </c>
      <c r="F19">
        <f>(Note[[#This Row],[Note CC]]+Note[[#This Row],[Note SN]])/2</f>
        <v>16</v>
      </c>
    </row>
    <row r="20" spans="1:6" x14ac:dyDescent="0.25">
      <c r="A20" t="s">
        <v>58</v>
      </c>
      <c r="B20" t="s">
        <v>59</v>
      </c>
      <c r="C20" t="s">
        <v>30</v>
      </c>
      <c r="D20">
        <v>14</v>
      </c>
      <c r="E20">
        <v>11</v>
      </c>
      <c r="F20">
        <f>(Note[[#This Row],[Note CC]]+Note[[#This Row],[Note SN]])/2</f>
        <v>12.5</v>
      </c>
    </row>
    <row r="21" spans="1:6" x14ac:dyDescent="0.25">
      <c r="A21" t="s">
        <v>58</v>
      </c>
      <c r="B21" t="s">
        <v>59</v>
      </c>
      <c r="C21" t="s">
        <v>31</v>
      </c>
      <c r="D21">
        <v>13</v>
      </c>
      <c r="E21">
        <v>15</v>
      </c>
      <c r="F21">
        <f>(Note[[#This Row],[Note CC]]+Note[[#This Row],[Note SN]])/2</f>
        <v>14</v>
      </c>
    </row>
    <row r="22" spans="1:6" x14ac:dyDescent="0.25">
      <c r="A22" t="s">
        <v>58</v>
      </c>
      <c r="B22" t="s">
        <v>59</v>
      </c>
      <c r="C22" t="s">
        <v>32</v>
      </c>
      <c r="D22">
        <v>9</v>
      </c>
      <c r="E22">
        <v>15</v>
      </c>
      <c r="F22">
        <f>(Note[[#This Row],[Note CC]]+Note[[#This Row],[Note SN]])/2</f>
        <v>12</v>
      </c>
    </row>
    <row r="23" spans="1:6" x14ac:dyDescent="0.25">
      <c r="A23" t="s">
        <v>58</v>
      </c>
      <c r="B23" t="s">
        <v>59</v>
      </c>
      <c r="C23" t="s">
        <v>33</v>
      </c>
      <c r="D23">
        <v>10</v>
      </c>
      <c r="E23">
        <v>12</v>
      </c>
      <c r="F23">
        <f>(Note[[#This Row],[Note CC]]+Note[[#This Row],[Note SN]])/2</f>
        <v>11</v>
      </c>
    </row>
    <row r="24" spans="1:6" x14ac:dyDescent="0.25">
      <c r="A24" t="s">
        <v>58</v>
      </c>
      <c r="B24" t="s">
        <v>59</v>
      </c>
      <c r="C24" t="s">
        <v>34</v>
      </c>
      <c r="D24">
        <v>8</v>
      </c>
      <c r="E24">
        <v>5</v>
      </c>
      <c r="F24">
        <f>(Note[[#This Row],[Note CC]]+Note[[#This Row],[Note SN]])/2</f>
        <v>6.5</v>
      </c>
    </row>
    <row r="25" spans="1:6" x14ac:dyDescent="0.25">
      <c r="A25" t="s">
        <v>60</v>
      </c>
      <c r="B25" t="s">
        <v>61</v>
      </c>
      <c r="C25" t="s">
        <v>17</v>
      </c>
      <c r="D25">
        <v>17</v>
      </c>
      <c r="E25">
        <v>20</v>
      </c>
      <c r="F25">
        <f>(Note[[#This Row],[Note CC]]+Note[[#This Row],[Note SN]])/2</f>
        <v>18.5</v>
      </c>
    </row>
    <row r="26" spans="1:6" x14ac:dyDescent="0.25">
      <c r="A26" t="s">
        <v>95</v>
      </c>
      <c r="B26" t="s">
        <v>96</v>
      </c>
      <c r="C26" t="s">
        <v>97</v>
      </c>
      <c r="D26">
        <v>11</v>
      </c>
      <c r="E26">
        <v>12</v>
      </c>
      <c r="F26">
        <f>(Note[[#This Row],[Note CC]]+Note[[#This Row],[Note SN]])/2</f>
        <v>11.5</v>
      </c>
    </row>
    <row r="27" spans="1:6" x14ac:dyDescent="0.25">
      <c r="A27" t="s">
        <v>60</v>
      </c>
      <c r="B27" t="s">
        <v>61</v>
      </c>
      <c r="C27" t="s">
        <v>18</v>
      </c>
      <c r="D27">
        <v>18</v>
      </c>
      <c r="E27">
        <v>10</v>
      </c>
      <c r="F27">
        <f>(Note[[#This Row],[Note CC]]+Note[[#This Row],[Note SN]])/2</f>
        <v>14</v>
      </c>
    </row>
    <row r="28" spans="1:6" x14ac:dyDescent="0.25">
      <c r="A28" t="s">
        <v>60</v>
      </c>
      <c r="B28" t="s">
        <v>61</v>
      </c>
      <c r="C28" t="s">
        <v>19</v>
      </c>
      <c r="D28">
        <v>11</v>
      </c>
      <c r="E28">
        <v>15</v>
      </c>
      <c r="F28">
        <f>(Note[[#This Row],[Note CC]]+Note[[#This Row],[Note SN]])/2</f>
        <v>13</v>
      </c>
    </row>
    <row r="29" spans="1:6" x14ac:dyDescent="0.25">
      <c r="A29" t="s">
        <v>60</v>
      </c>
      <c r="B29" t="s">
        <v>61</v>
      </c>
      <c r="C29" t="s">
        <v>20</v>
      </c>
      <c r="D29">
        <v>12</v>
      </c>
      <c r="E29">
        <v>13</v>
      </c>
      <c r="F29">
        <f>(Note[[#This Row],[Note CC]]+Note[[#This Row],[Note SN]])/2</f>
        <v>12.5</v>
      </c>
    </row>
    <row r="30" spans="1:6" x14ac:dyDescent="0.25">
      <c r="A30" t="s">
        <v>95</v>
      </c>
      <c r="B30" t="s">
        <v>96</v>
      </c>
      <c r="C30" t="s">
        <v>98</v>
      </c>
      <c r="D30">
        <v>12</v>
      </c>
      <c r="E30">
        <v>8</v>
      </c>
      <c r="F30">
        <f>(Note[[#This Row],[Note CC]]+Note[[#This Row],[Note SN]])/2</f>
        <v>10</v>
      </c>
    </row>
    <row r="31" spans="1:6" x14ac:dyDescent="0.25">
      <c r="A31" t="s">
        <v>60</v>
      </c>
      <c r="B31" t="s">
        <v>61</v>
      </c>
      <c r="C31" t="s">
        <v>21</v>
      </c>
      <c r="D31">
        <v>15</v>
      </c>
      <c r="E31">
        <v>12</v>
      </c>
      <c r="F31">
        <f>(Note[[#This Row],[Note CC]]+Note[[#This Row],[Note SN]])/2</f>
        <v>13.5</v>
      </c>
    </row>
    <row r="32" spans="1:6" x14ac:dyDescent="0.25">
      <c r="A32" t="s">
        <v>60</v>
      </c>
      <c r="B32" t="s">
        <v>61</v>
      </c>
      <c r="C32" t="s">
        <v>22</v>
      </c>
      <c r="D32">
        <v>9</v>
      </c>
      <c r="E32">
        <v>17</v>
      </c>
      <c r="F32">
        <f>(Note[[#This Row],[Note CC]]+Note[[#This Row],[Note SN]])/2</f>
        <v>13</v>
      </c>
    </row>
    <row r="33" spans="1:6" x14ac:dyDescent="0.25">
      <c r="A33" t="s">
        <v>60</v>
      </c>
      <c r="B33" t="s">
        <v>61</v>
      </c>
      <c r="C33" t="s">
        <v>23</v>
      </c>
      <c r="D33">
        <v>9</v>
      </c>
      <c r="E33">
        <v>11</v>
      </c>
      <c r="F33">
        <f>(Note[[#This Row],[Note CC]]+Note[[#This Row],[Note SN]])/2</f>
        <v>10</v>
      </c>
    </row>
    <row r="34" spans="1:6" x14ac:dyDescent="0.25">
      <c r="A34" t="s">
        <v>95</v>
      </c>
      <c r="B34" t="s">
        <v>96</v>
      </c>
      <c r="C34" t="s">
        <v>99</v>
      </c>
      <c r="D34">
        <v>10</v>
      </c>
      <c r="E34">
        <v>14</v>
      </c>
      <c r="F34">
        <f>(Note[[#This Row],[Note CC]]+Note[[#This Row],[Note SN]])/2</f>
        <v>12</v>
      </c>
    </row>
    <row r="35" spans="1:6" x14ac:dyDescent="0.25">
      <c r="A35" t="s">
        <v>60</v>
      </c>
      <c r="B35" t="s">
        <v>61</v>
      </c>
      <c r="C35" t="s">
        <v>24</v>
      </c>
      <c r="D35">
        <v>14</v>
      </c>
      <c r="E35">
        <v>9</v>
      </c>
      <c r="F35">
        <f>(Note[[#This Row],[Note CC]]+Note[[#This Row],[Note SN]])/2</f>
        <v>11.5</v>
      </c>
    </row>
    <row r="36" spans="1:6" x14ac:dyDescent="0.25">
      <c r="A36" t="s">
        <v>95</v>
      </c>
      <c r="B36" t="s">
        <v>96</v>
      </c>
      <c r="C36" t="s">
        <v>100</v>
      </c>
      <c r="D36">
        <v>10</v>
      </c>
      <c r="E36">
        <v>11</v>
      </c>
      <c r="F36">
        <f>(Note[[#This Row],[Note CC]]+Note[[#This Row],[Note SN]])/2</f>
        <v>10.5</v>
      </c>
    </row>
    <row r="37" spans="1:6" x14ac:dyDescent="0.25">
      <c r="A37" t="s">
        <v>60</v>
      </c>
      <c r="B37" t="s">
        <v>61</v>
      </c>
      <c r="C37" t="s">
        <v>25</v>
      </c>
      <c r="D37">
        <v>17</v>
      </c>
      <c r="E37">
        <v>15</v>
      </c>
      <c r="F37">
        <f>(Note[[#This Row],[Note CC]]+Note[[#This Row],[Note SN]])/2</f>
        <v>16</v>
      </c>
    </row>
    <row r="38" spans="1:6" x14ac:dyDescent="0.25">
      <c r="A38" t="s">
        <v>60</v>
      </c>
      <c r="B38" t="s">
        <v>61</v>
      </c>
      <c r="C38" t="s">
        <v>26</v>
      </c>
      <c r="D38">
        <v>11</v>
      </c>
      <c r="E38">
        <v>10</v>
      </c>
      <c r="F38">
        <f>(Note[[#This Row],[Note CC]]+Note[[#This Row],[Note SN]])/2</f>
        <v>10.5</v>
      </c>
    </row>
    <row r="39" spans="1:6" x14ac:dyDescent="0.25">
      <c r="A39" t="s">
        <v>60</v>
      </c>
      <c r="B39" t="s">
        <v>61</v>
      </c>
      <c r="C39" t="s">
        <v>27</v>
      </c>
      <c r="D39">
        <v>8</v>
      </c>
      <c r="E39">
        <v>8</v>
      </c>
      <c r="F39">
        <f>(Note[[#This Row],[Note CC]]+Note[[#This Row],[Note SN]])/2</f>
        <v>8</v>
      </c>
    </row>
    <row r="40" spans="1:6" x14ac:dyDescent="0.25">
      <c r="A40" t="s">
        <v>60</v>
      </c>
      <c r="B40" t="s">
        <v>61</v>
      </c>
      <c r="C40" t="s">
        <v>28</v>
      </c>
      <c r="D40">
        <v>9</v>
      </c>
      <c r="E40">
        <v>10</v>
      </c>
      <c r="F40">
        <f>(Note[[#This Row],[Note CC]]+Note[[#This Row],[Note SN]])/2</f>
        <v>9.5</v>
      </c>
    </row>
    <row r="41" spans="1:6" x14ac:dyDescent="0.25">
      <c r="A41" t="s">
        <v>60</v>
      </c>
      <c r="B41" t="s">
        <v>61</v>
      </c>
      <c r="C41" t="s">
        <v>29</v>
      </c>
      <c r="D41">
        <v>18</v>
      </c>
      <c r="E41">
        <v>14</v>
      </c>
      <c r="F41">
        <f>(Note[[#This Row],[Note CC]]+Note[[#This Row],[Note SN]])/2</f>
        <v>16</v>
      </c>
    </row>
    <row r="42" spans="1:6" x14ac:dyDescent="0.25">
      <c r="A42" t="s">
        <v>60</v>
      </c>
      <c r="B42" t="s">
        <v>61</v>
      </c>
      <c r="C42" t="s">
        <v>30</v>
      </c>
      <c r="D42">
        <v>19</v>
      </c>
      <c r="E42">
        <v>20</v>
      </c>
      <c r="F42">
        <f>(Note[[#This Row],[Note CC]]+Note[[#This Row],[Note SN]])/2</f>
        <v>19.5</v>
      </c>
    </row>
    <row r="43" spans="1:6" x14ac:dyDescent="0.25">
      <c r="A43" t="s">
        <v>60</v>
      </c>
      <c r="B43" t="s">
        <v>61</v>
      </c>
      <c r="C43" t="s">
        <v>31</v>
      </c>
      <c r="D43">
        <v>17</v>
      </c>
      <c r="E43">
        <v>10</v>
      </c>
      <c r="F43">
        <f>(Note[[#This Row],[Note CC]]+Note[[#This Row],[Note SN]])/2</f>
        <v>13.5</v>
      </c>
    </row>
    <row r="44" spans="1:6" x14ac:dyDescent="0.25">
      <c r="A44" t="s">
        <v>60</v>
      </c>
      <c r="B44" t="s">
        <v>61</v>
      </c>
      <c r="C44" t="s">
        <v>32</v>
      </c>
      <c r="D44">
        <v>19</v>
      </c>
      <c r="E44">
        <v>12</v>
      </c>
      <c r="F44">
        <f>(Note[[#This Row],[Note CC]]+Note[[#This Row],[Note SN]])/2</f>
        <v>15.5</v>
      </c>
    </row>
    <row r="45" spans="1:6" x14ac:dyDescent="0.25">
      <c r="A45" t="s">
        <v>60</v>
      </c>
      <c r="B45" t="s">
        <v>61</v>
      </c>
      <c r="C45" t="s">
        <v>33</v>
      </c>
      <c r="D45">
        <v>19</v>
      </c>
      <c r="E45">
        <v>12</v>
      </c>
      <c r="F45">
        <f>(Note[[#This Row],[Note CC]]+Note[[#This Row],[Note SN]])/2</f>
        <v>15.5</v>
      </c>
    </row>
    <row r="46" spans="1:6" x14ac:dyDescent="0.25">
      <c r="A46" t="s">
        <v>60</v>
      </c>
      <c r="B46" t="s">
        <v>61</v>
      </c>
      <c r="C46" t="s">
        <v>34</v>
      </c>
      <c r="D46">
        <v>19</v>
      </c>
      <c r="E46">
        <v>6</v>
      </c>
      <c r="F46">
        <f>(Note[[#This Row],[Note CC]]+Note[[#This Row],[Note SN]])/2</f>
        <v>12.5</v>
      </c>
    </row>
    <row r="47" spans="1:6" x14ac:dyDescent="0.25">
      <c r="A47" t="s">
        <v>62</v>
      </c>
      <c r="B47" t="s">
        <v>63</v>
      </c>
      <c r="C47" t="s">
        <v>17</v>
      </c>
      <c r="D47">
        <v>16</v>
      </c>
      <c r="E47">
        <v>19</v>
      </c>
      <c r="F47">
        <f>(Note[[#This Row],[Note CC]]+Note[[#This Row],[Note SN]])/2</f>
        <v>17.5</v>
      </c>
    </row>
    <row r="48" spans="1:6" x14ac:dyDescent="0.25">
      <c r="A48" t="s">
        <v>95</v>
      </c>
      <c r="B48" t="s">
        <v>96</v>
      </c>
      <c r="C48" t="s">
        <v>101</v>
      </c>
      <c r="D48">
        <v>8</v>
      </c>
      <c r="E48">
        <v>9</v>
      </c>
      <c r="F48">
        <f>(Note[[#This Row],[Note CC]]+Note[[#This Row],[Note SN]])/2</f>
        <v>8.5</v>
      </c>
    </row>
    <row r="49" spans="1:6" x14ac:dyDescent="0.25">
      <c r="A49" t="s">
        <v>64</v>
      </c>
      <c r="B49" t="s">
        <v>65</v>
      </c>
      <c r="C49" t="s">
        <v>17</v>
      </c>
      <c r="D49">
        <v>18</v>
      </c>
      <c r="E49">
        <v>12</v>
      </c>
      <c r="F49">
        <f>(Note[[#This Row],[Note CC]]+Note[[#This Row],[Note SN]])/2</f>
        <v>15</v>
      </c>
    </row>
    <row r="50" spans="1:6" x14ac:dyDescent="0.25">
      <c r="A50" t="s">
        <v>95</v>
      </c>
      <c r="B50" t="s">
        <v>96</v>
      </c>
      <c r="C50" t="s">
        <v>102</v>
      </c>
      <c r="D50">
        <v>10</v>
      </c>
      <c r="E50">
        <v>14</v>
      </c>
      <c r="F50">
        <f>(Note[[#This Row],[Note CC]]+Note[[#This Row],[Note SN]])/2</f>
        <v>12</v>
      </c>
    </row>
    <row r="51" spans="1:6" x14ac:dyDescent="0.25">
      <c r="A51" t="s">
        <v>66</v>
      </c>
      <c r="B51" t="s">
        <v>67</v>
      </c>
      <c r="C51" t="s">
        <v>17</v>
      </c>
      <c r="D51">
        <v>12</v>
      </c>
      <c r="E51">
        <v>13</v>
      </c>
      <c r="F51">
        <f>(Note[[#This Row],[Note CC]]+Note[[#This Row],[Note SN]])/2</f>
        <v>12.5</v>
      </c>
    </row>
    <row r="52" spans="1:6" x14ac:dyDescent="0.25">
      <c r="A52" t="s">
        <v>95</v>
      </c>
      <c r="B52" t="s">
        <v>96</v>
      </c>
      <c r="C52" t="s">
        <v>103</v>
      </c>
      <c r="D52">
        <v>11</v>
      </c>
      <c r="E52">
        <v>8</v>
      </c>
      <c r="F52">
        <f>(Note[[#This Row],[Note CC]]+Note[[#This Row],[Note SN]])/2</f>
        <v>9.5</v>
      </c>
    </row>
    <row r="53" spans="1:6" x14ac:dyDescent="0.25">
      <c r="A53" t="s">
        <v>68</v>
      </c>
      <c r="B53" t="s">
        <v>69</v>
      </c>
      <c r="C53" t="s">
        <v>17</v>
      </c>
      <c r="D53">
        <v>15</v>
      </c>
      <c r="E53">
        <v>11</v>
      </c>
      <c r="F53">
        <f>(Note[[#This Row],[Note CC]]+Note[[#This Row],[Note SN]])/2</f>
        <v>13</v>
      </c>
    </row>
    <row r="54" spans="1:6" x14ac:dyDescent="0.25">
      <c r="A54" t="s">
        <v>110</v>
      </c>
      <c r="B54" t="s">
        <v>111</v>
      </c>
      <c r="C54" t="s">
        <v>104</v>
      </c>
      <c r="D54">
        <v>11</v>
      </c>
      <c r="E54">
        <v>8</v>
      </c>
      <c r="F54">
        <f>(Note[[#This Row],[Note CC]]+Note[[#This Row],[Note SN]])/2</f>
        <v>9.5</v>
      </c>
    </row>
    <row r="55" spans="1:6" x14ac:dyDescent="0.25">
      <c r="A55" t="s">
        <v>70</v>
      </c>
      <c r="B55" t="s">
        <v>71</v>
      </c>
      <c r="C55" t="s">
        <v>17</v>
      </c>
      <c r="D55">
        <v>13</v>
      </c>
      <c r="E55">
        <v>14</v>
      </c>
      <c r="F55">
        <f>(Note[[#This Row],[Note CC]]+Note[[#This Row],[Note SN]])/2</f>
        <v>13.5</v>
      </c>
    </row>
    <row r="56" spans="1:6" x14ac:dyDescent="0.25">
      <c r="A56" t="s">
        <v>110</v>
      </c>
      <c r="B56" t="s">
        <v>111</v>
      </c>
      <c r="C56" t="s">
        <v>105</v>
      </c>
      <c r="D56">
        <v>14</v>
      </c>
      <c r="E56">
        <v>9</v>
      </c>
      <c r="F56">
        <f>(Note[[#This Row],[Note CC]]+Note[[#This Row],[Note SN]])/2</f>
        <v>11.5</v>
      </c>
    </row>
    <row r="57" spans="1:6" x14ac:dyDescent="0.25">
      <c r="A57" t="s">
        <v>110</v>
      </c>
      <c r="B57" t="s">
        <v>111</v>
      </c>
      <c r="C57" t="s">
        <v>106</v>
      </c>
      <c r="D57">
        <v>15</v>
      </c>
      <c r="E57">
        <v>14</v>
      </c>
      <c r="F57">
        <f>(Note[[#This Row],[Note CC]]+Note[[#This Row],[Note SN]])/2</f>
        <v>14.5</v>
      </c>
    </row>
    <row r="58" spans="1:6" x14ac:dyDescent="0.25">
      <c r="A58" t="s">
        <v>110</v>
      </c>
      <c r="B58" t="s">
        <v>111</v>
      </c>
      <c r="C58" t="s">
        <v>107</v>
      </c>
      <c r="D58">
        <v>8</v>
      </c>
      <c r="E58">
        <v>7</v>
      </c>
      <c r="F58">
        <f>(Note[[#This Row],[Note CC]]+Note[[#This Row],[Note SN]])/2</f>
        <v>7.5</v>
      </c>
    </row>
    <row r="59" spans="1:6" x14ac:dyDescent="0.25">
      <c r="A59" t="s">
        <v>110</v>
      </c>
      <c r="B59" t="s">
        <v>111</v>
      </c>
      <c r="C59" t="s">
        <v>108</v>
      </c>
      <c r="D59">
        <v>11</v>
      </c>
      <c r="E59">
        <v>17</v>
      </c>
      <c r="F59">
        <f>(Note[[#This Row],[Note CC]]+Note[[#This Row],[Note SN]])/2</f>
        <v>14</v>
      </c>
    </row>
    <row r="60" spans="1:6" x14ac:dyDescent="0.25">
      <c r="A60" t="s">
        <v>110</v>
      </c>
      <c r="B60" t="s">
        <v>111</v>
      </c>
      <c r="C60" t="s">
        <v>109</v>
      </c>
      <c r="D60">
        <v>14</v>
      </c>
      <c r="E60">
        <v>9</v>
      </c>
      <c r="F60">
        <f>(Note[[#This Row],[Note CC]]+Note[[#This Row],[Note SN]])/2</f>
        <v>11.5</v>
      </c>
    </row>
    <row r="61" spans="1:6" x14ac:dyDescent="0.25">
      <c r="F61">
        <f>(Note[[#This Row],[Note CC]]+Note[[#This Row],[Note SN]])/2</f>
        <v>0</v>
      </c>
    </row>
    <row r="62" spans="1:6" x14ac:dyDescent="0.25">
      <c r="F62">
        <f>(Note[[#This Row],[Note CC]]+Note[[#This Row],[Note SN]])/2</f>
        <v>0</v>
      </c>
    </row>
    <row r="63" spans="1:6" x14ac:dyDescent="0.25">
      <c r="A63" t="s">
        <v>58</v>
      </c>
      <c r="B63" t="s">
        <v>59</v>
      </c>
      <c r="C63" t="s">
        <v>72</v>
      </c>
      <c r="D63">
        <v>12</v>
      </c>
      <c r="E63">
        <v>10</v>
      </c>
      <c r="F63">
        <f>(Note[[#This Row],[Note CC]]+Note[[#This Row],[Note SN]])/2</f>
        <v>11</v>
      </c>
    </row>
    <row r="64" spans="1:6" x14ac:dyDescent="0.25">
      <c r="A64" t="s">
        <v>58</v>
      </c>
      <c r="B64" t="s">
        <v>59</v>
      </c>
      <c r="C64" t="s">
        <v>73</v>
      </c>
      <c r="D64">
        <v>13</v>
      </c>
      <c r="E64">
        <v>14</v>
      </c>
      <c r="F64">
        <f>(Note[[#This Row],[Note CC]]+Note[[#This Row],[Note SN]])/2</f>
        <v>13.5</v>
      </c>
    </row>
    <row r="65" spans="1:6" x14ac:dyDescent="0.25">
      <c r="A65" t="s">
        <v>58</v>
      </c>
      <c r="B65" t="s">
        <v>59</v>
      </c>
      <c r="C65" t="s">
        <v>74</v>
      </c>
      <c r="D65">
        <v>12</v>
      </c>
      <c r="E65">
        <v>11</v>
      </c>
      <c r="F65">
        <f>(Note[[#This Row],[Note CC]]+Note[[#This Row],[Note SN]])/2</f>
        <v>11.5</v>
      </c>
    </row>
    <row r="66" spans="1:6" x14ac:dyDescent="0.25">
      <c r="A66" t="s">
        <v>58</v>
      </c>
      <c r="B66" t="s">
        <v>59</v>
      </c>
      <c r="C66" t="s">
        <v>75</v>
      </c>
      <c r="D66">
        <v>9</v>
      </c>
      <c r="E66">
        <v>8</v>
      </c>
      <c r="F66">
        <f>(Note[[#This Row],[Note CC]]+Note[[#This Row],[Note SN]])/2</f>
        <v>8.5</v>
      </c>
    </row>
    <row r="67" spans="1:6" x14ac:dyDescent="0.25">
      <c r="A67" t="s">
        <v>58</v>
      </c>
      <c r="B67" t="s">
        <v>59</v>
      </c>
      <c r="C67" t="s">
        <v>76</v>
      </c>
      <c r="D67">
        <v>10</v>
      </c>
      <c r="E67">
        <v>11</v>
      </c>
      <c r="F67">
        <f>(Note[[#This Row],[Note CC]]+Note[[#This Row],[Note SN]])/2</f>
        <v>10.5</v>
      </c>
    </row>
    <row r="68" spans="1:6" x14ac:dyDescent="0.25">
      <c r="A68" t="s">
        <v>58</v>
      </c>
      <c r="B68" t="s">
        <v>59</v>
      </c>
      <c r="C68" t="s">
        <v>77</v>
      </c>
      <c r="D68">
        <v>11</v>
      </c>
      <c r="E68">
        <v>11</v>
      </c>
      <c r="F68">
        <f>(Note[[#This Row],[Note CC]]+Note[[#This Row],[Note SN]])/2</f>
        <v>11</v>
      </c>
    </row>
    <row r="69" spans="1:6" x14ac:dyDescent="0.25">
      <c r="F69">
        <f>(Note[[#This Row],[Note CC]]+Note[[#This Row],[Note SN]])/2</f>
        <v>0</v>
      </c>
    </row>
    <row r="70" spans="1:6" x14ac:dyDescent="0.25">
      <c r="F70">
        <f>(Note[[#This Row],[Note CC]]+Note[[#This Row],[Note SN]])/2</f>
        <v>0</v>
      </c>
    </row>
    <row r="71" spans="1:6" x14ac:dyDescent="0.25">
      <c r="F71">
        <f>(Note[[#This Row],[Note CC]]+Note[[#This Row],[Note SN]])/2</f>
        <v>0</v>
      </c>
    </row>
    <row r="72" spans="1:6" x14ac:dyDescent="0.25">
      <c r="F72">
        <f>(Note[[#This Row],[Note CC]]+Note[[#This Row],[Note SN]])/2</f>
        <v>0</v>
      </c>
    </row>
    <row r="73" spans="1:6" x14ac:dyDescent="0.25">
      <c r="F73">
        <f>(Note[[#This Row],[Note CC]]+Note[[#This Row],[Note SN]])/2</f>
        <v>0</v>
      </c>
    </row>
    <row r="74" spans="1:6" x14ac:dyDescent="0.25">
      <c r="F74">
        <f>(Note[[#This Row],[Note CC]]+Note[[#This Row],[Note SN]])/2</f>
        <v>0</v>
      </c>
    </row>
    <row r="75" spans="1:6" x14ac:dyDescent="0.25">
      <c r="F75">
        <f>(Note[[#This Row],[Note CC]]+Note[[#This Row],[Note SN]])/2</f>
        <v>0</v>
      </c>
    </row>
    <row r="76" spans="1:6" x14ac:dyDescent="0.25">
      <c r="F76">
        <f>(Note[[#This Row],[Note CC]]+Note[[#This Row],[Note SN]])/2</f>
        <v>0</v>
      </c>
    </row>
    <row r="77" spans="1:6" x14ac:dyDescent="0.25">
      <c r="F77">
        <f>(Note[[#This Row],[Note CC]]+Note[[#This Row],[Note SN]])/2</f>
        <v>0</v>
      </c>
    </row>
    <row r="78" spans="1:6" x14ac:dyDescent="0.25">
      <c r="F78">
        <f>(Note[[#This Row],[Note CC]]+Note[[#This Row],[Note SN]])/2</f>
        <v>0</v>
      </c>
    </row>
    <row r="79" spans="1:6" x14ac:dyDescent="0.25">
      <c r="F79">
        <f>(Note[[#This Row],[Note CC]]+Note[[#This Row],[Note SN]])/2</f>
        <v>0</v>
      </c>
    </row>
    <row r="80" spans="1:6" x14ac:dyDescent="0.25">
      <c r="F80">
        <f>(Note[[#This Row],[Note CC]]+Note[[#This Row],[Note SN]])/2</f>
        <v>0</v>
      </c>
    </row>
    <row r="81" spans="6:6" x14ac:dyDescent="0.25">
      <c r="F81">
        <f>(Note[[#This Row],[Note CC]]+Note[[#This Row],[Note SN]])/2</f>
        <v>0</v>
      </c>
    </row>
    <row r="82" spans="6:6" x14ac:dyDescent="0.25">
      <c r="F82">
        <f>(Note[[#This Row],[Note CC]]+Note[[#This Row],[Note SN]])/2</f>
        <v>0</v>
      </c>
    </row>
    <row r="83" spans="6:6" x14ac:dyDescent="0.25">
      <c r="F83">
        <f>(Note[[#This Row],[Note CC]]+Note[[#This Row],[Note SN]])/2</f>
        <v>0</v>
      </c>
    </row>
    <row r="84" spans="6:6" x14ac:dyDescent="0.25">
      <c r="F84">
        <f>(Note[[#This Row],[Note CC]]+Note[[#This Row],[Note SN]])/2</f>
        <v>0</v>
      </c>
    </row>
    <row r="85" spans="6:6" x14ac:dyDescent="0.25">
      <c r="F85">
        <f>(Note[[#This Row],[Note CC]]+Note[[#This Row],[Note SN]])/2</f>
        <v>0</v>
      </c>
    </row>
    <row r="86" spans="6:6" x14ac:dyDescent="0.25">
      <c r="F86">
        <f>(Note[[#This Row],[Note CC]]+Note[[#This Row],[Note SN]])/2</f>
        <v>0</v>
      </c>
    </row>
    <row r="87" spans="6:6" x14ac:dyDescent="0.25">
      <c r="F87">
        <f>(Note[[#This Row],[Note CC]]+Note[[#This Row],[Note SN]])/2</f>
        <v>0</v>
      </c>
    </row>
    <row r="88" spans="6:6" x14ac:dyDescent="0.25">
      <c r="F88">
        <f>(Note[[#This Row],[Note CC]]+Note[[#This Row],[Note SN]])/2</f>
        <v>0</v>
      </c>
    </row>
    <row r="89" spans="6:6" x14ac:dyDescent="0.25">
      <c r="F89">
        <f>(Note[[#This Row],[Note CC]]+Note[[#This Row],[Note SN]])/2</f>
        <v>0</v>
      </c>
    </row>
    <row r="90" spans="6:6" x14ac:dyDescent="0.25">
      <c r="F90">
        <f>(Note[[#This Row],[Note CC]]+Note[[#This Row],[Note SN]])/2</f>
        <v>0</v>
      </c>
    </row>
    <row r="91" spans="6:6" x14ac:dyDescent="0.25">
      <c r="F91">
        <f>(Note[[#This Row],[Note CC]]+Note[[#This Row],[Note SN]])/2</f>
        <v>0</v>
      </c>
    </row>
    <row r="92" spans="6:6" x14ac:dyDescent="0.25">
      <c r="F92">
        <f>(Note[[#This Row],[Note CC]]+Note[[#This Row],[Note SN]])/2</f>
        <v>0</v>
      </c>
    </row>
    <row r="93" spans="6:6" x14ac:dyDescent="0.25">
      <c r="F93">
        <f>(Note[[#This Row],[Note CC]]+Note[[#This Row],[Note SN]])/2</f>
        <v>0</v>
      </c>
    </row>
    <row r="94" spans="6:6" x14ac:dyDescent="0.25">
      <c r="F94">
        <f>(Note[[#This Row],[Note CC]]+Note[[#This Row],[Note SN]])/2</f>
        <v>0</v>
      </c>
    </row>
    <row r="95" spans="6:6" x14ac:dyDescent="0.25">
      <c r="F95">
        <f>(Note[[#This Row],[Note CC]]+Note[[#This Row],[Note SN]])/2</f>
        <v>0</v>
      </c>
    </row>
    <row r="96" spans="6:6" x14ac:dyDescent="0.25">
      <c r="F96">
        <f>(Note[[#This Row],[Note CC]]+Note[[#This Row],[Note SN]])/2</f>
        <v>0</v>
      </c>
    </row>
    <row r="97" spans="6:6" x14ac:dyDescent="0.25">
      <c r="F97">
        <f>(Note[[#This Row],[Note CC]]+Note[[#This Row],[Note SN]])/2</f>
        <v>0</v>
      </c>
    </row>
    <row r="98" spans="6:6" x14ac:dyDescent="0.25">
      <c r="F98">
        <f>(Note[[#This Row],[Note CC]]+Note[[#This Row],[Note SN]])/2</f>
        <v>0</v>
      </c>
    </row>
    <row r="99" spans="6:6" x14ac:dyDescent="0.25">
      <c r="F99">
        <f>(Note[[#This Row],[Note CC]]+Note[[#This Row],[Note SN]])/2</f>
        <v>0</v>
      </c>
    </row>
    <row r="100" spans="6:6" x14ac:dyDescent="0.25">
      <c r="F100">
        <f>(Note[[#This Row],[Note CC]]+Note[[#This Row],[Note SN]])/2</f>
        <v>0</v>
      </c>
    </row>
    <row r="101" spans="6:6" x14ac:dyDescent="0.25">
      <c r="F101">
        <f>(Note[[#This Row],[Note CC]]+Note[[#This Row],[Note SN]])/2</f>
        <v>0</v>
      </c>
    </row>
    <row r="102" spans="6:6" x14ac:dyDescent="0.25">
      <c r="F102">
        <f>(Note[[#This Row],[Note CC]]+Note[[#This Row],[Note SN]])/2</f>
        <v>0</v>
      </c>
    </row>
    <row r="103" spans="6:6" x14ac:dyDescent="0.25">
      <c r="F103">
        <f>(Note[[#This Row],[Note CC]]+Note[[#This Row],[Note SN]])/2</f>
        <v>0</v>
      </c>
    </row>
    <row r="104" spans="6:6" x14ac:dyDescent="0.25">
      <c r="F104">
        <f>(Note[[#This Row],[Note CC]]+Note[[#This Row],[Note SN]])/2</f>
        <v>0</v>
      </c>
    </row>
    <row r="105" spans="6:6" x14ac:dyDescent="0.25">
      <c r="F105">
        <f>(Note[[#This Row],[Note CC]]+Note[[#This Row],[Note SN]])/2</f>
        <v>0</v>
      </c>
    </row>
    <row r="106" spans="6:6" x14ac:dyDescent="0.25">
      <c r="F106">
        <f>(Note[[#This Row],[Note CC]]+Note[[#This Row],[Note SN]])/2</f>
        <v>0</v>
      </c>
    </row>
    <row r="107" spans="6:6" x14ac:dyDescent="0.25">
      <c r="F107">
        <f>(Note[[#This Row],[Note CC]]+Note[[#This Row],[Note SN]])/2</f>
        <v>0</v>
      </c>
    </row>
    <row r="108" spans="6:6" x14ac:dyDescent="0.25">
      <c r="F108">
        <f>(Note[[#This Row],[Note CC]]+Note[[#This Row],[Note SN]])/2</f>
        <v>0</v>
      </c>
    </row>
    <row r="109" spans="6:6" x14ac:dyDescent="0.25">
      <c r="F109">
        <f>(Note[[#This Row],[Note CC]]+Note[[#This Row],[Note SN]])/2</f>
        <v>0</v>
      </c>
    </row>
    <row r="110" spans="6:6" x14ac:dyDescent="0.25">
      <c r="F110">
        <f>(Note[[#This Row],[Note CC]]+Note[[#This Row],[Note SN]])/2</f>
        <v>0</v>
      </c>
    </row>
    <row r="111" spans="6:6" x14ac:dyDescent="0.25">
      <c r="F111">
        <f>(Note[[#This Row],[Note CC]]+Note[[#This Row],[Note SN]])/2</f>
        <v>0</v>
      </c>
    </row>
    <row r="112" spans="6:6" x14ac:dyDescent="0.25">
      <c r="F112">
        <f>(Note[[#This Row],[Note CC]]+Note[[#This Row],[Note SN]])/2</f>
        <v>0</v>
      </c>
    </row>
    <row r="113" spans="6:6" x14ac:dyDescent="0.25">
      <c r="F113">
        <f>(Note[[#This Row],[Note CC]]+Note[[#This Row],[Note SN]])/2</f>
        <v>0</v>
      </c>
    </row>
    <row r="114" spans="6:6" x14ac:dyDescent="0.25">
      <c r="F114">
        <f>(Note[[#This Row],[Note CC]]+Note[[#This Row],[Note SN]])/2</f>
        <v>0</v>
      </c>
    </row>
    <row r="115" spans="6:6" x14ac:dyDescent="0.25">
      <c r="F115">
        <f>(Note[[#This Row],[Note CC]]+Note[[#This Row],[Note SN]])/2</f>
        <v>0</v>
      </c>
    </row>
    <row r="116" spans="6:6" x14ac:dyDescent="0.25">
      <c r="F116">
        <f>(Note[[#This Row],[Note CC]]+Note[[#This Row],[Note SN]])/2</f>
        <v>0</v>
      </c>
    </row>
    <row r="117" spans="6:6" x14ac:dyDescent="0.25">
      <c r="F117">
        <f>(Note[[#This Row],[Note CC]]+Note[[#This Row],[Note SN]])/2</f>
        <v>0</v>
      </c>
    </row>
    <row r="118" spans="6:6" x14ac:dyDescent="0.25">
      <c r="F118">
        <f>(Note[[#This Row],[Note CC]]+Note[[#This Row],[Note SN]])/2</f>
        <v>0</v>
      </c>
    </row>
    <row r="119" spans="6:6" x14ac:dyDescent="0.25">
      <c r="F119">
        <f>(Note[[#This Row],[Note CC]]+Note[[#This Row],[Note SN]])/2</f>
        <v>0</v>
      </c>
    </row>
    <row r="120" spans="6:6" x14ac:dyDescent="0.25">
      <c r="F120">
        <f>(Note[[#This Row],[Note CC]]+Note[[#This Row],[Note SN]])/2</f>
        <v>0</v>
      </c>
    </row>
    <row r="121" spans="6:6" x14ac:dyDescent="0.25">
      <c r="F121">
        <f>(Note[[#This Row],[Note CC]]+Note[[#This Row],[Note SN]])/2</f>
        <v>0</v>
      </c>
    </row>
    <row r="122" spans="6:6" x14ac:dyDescent="0.25">
      <c r="F122">
        <f>(Note[[#This Row],[Note CC]]+Note[[#This Row],[Note SN]])/2</f>
        <v>0</v>
      </c>
    </row>
    <row r="123" spans="6:6" x14ac:dyDescent="0.25">
      <c r="F123">
        <f>(Note[[#This Row],[Note CC]]+Note[[#This Row],[Note SN]])/2</f>
        <v>0</v>
      </c>
    </row>
    <row r="124" spans="6:6" x14ac:dyDescent="0.25">
      <c r="F124">
        <f>(Note[[#This Row],[Note CC]]+Note[[#This Row],[Note SN]])/2</f>
        <v>0</v>
      </c>
    </row>
    <row r="125" spans="6:6" x14ac:dyDescent="0.25">
      <c r="F125">
        <f>(Note[[#This Row],[Note CC]]+Note[[#This Row],[Note SN]])/2</f>
        <v>0</v>
      </c>
    </row>
    <row r="126" spans="6:6" x14ac:dyDescent="0.25">
      <c r="F126">
        <f>(Note[[#This Row],[Note CC]]+Note[[#This Row],[Note SN]])/2</f>
        <v>0</v>
      </c>
    </row>
    <row r="127" spans="6:6" x14ac:dyDescent="0.25">
      <c r="F127">
        <f>(Note[[#This Row],[Note CC]]+Note[[#This Row],[Note SN]])/2</f>
        <v>0</v>
      </c>
    </row>
    <row r="128" spans="6:6" x14ac:dyDescent="0.25">
      <c r="F128">
        <f>(Note[[#This Row],[Note CC]]+Note[[#This Row],[Note SN]])/2</f>
        <v>0</v>
      </c>
    </row>
    <row r="129" spans="6:6" x14ac:dyDescent="0.25">
      <c r="F129">
        <f>(Note[[#This Row],[Note CC]]+Note[[#This Row],[Note SN]])/2</f>
        <v>0</v>
      </c>
    </row>
    <row r="130" spans="6:6" x14ac:dyDescent="0.25">
      <c r="F130">
        <f>(Note[[#This Row],[Note CC]]+Note[[#This Row],[Note SN]])/2</f>
        <v>0</v>
      </c>
    </row>
    <row r="131" spans="6:6" x14ac:dyDescent="0.25">
      <c r="F131">
        <f>(Note[[#This Row],[Note CC]]+Note[[#This Row],[Note SN]])/2</f>
        <v>0</v>
      </c>
    </row>
    <row r="132" spans="6:6" x14ac:dyDescent="0.25">
      <c r="F132">
        <f>(Note[[#This Row],[Note CC]]+Note[[#This Row],[Note SN]])/2</f>
        <v>0</v>
      </c>
    </row>
    <row r="133" spans="6:6" x14ac:dyDescent="0.25">
      <c r="F133">
        <f>(Note[[#This Row],[Note CC]]+Note[[#This Row],[Note SN]])/2</f>
        <v>0</v>
      </c>
    </row>
    <row r="134" spans="6:6" x14ac:dyDescent="0.25">
      <c r="F134">
        <f>(Note[[#This Row],[Note CC]]+Note[[#This Row],[Note SN]])/2</f>
        <v>0</v>
      </c>
    </row>
    <row r="135" spans="6:6" x14ac:dyDescent="0.25">
      <c r="F135">
        <f>(Note[[#This Row],[Note CC]]+Note[[#This Row],[Note SN]])/2</f>
        <v>0</v>
      </c>
    </row>
    <row r="136" spans="6:6" x14ac:dyDescent="0.25">
      <c r="F136">
        <f>(Note[[#This Row],[Note CC]]+Note[[#This Row],[Note SN]])/2</f>
        <v>0</v>
      </c>
    </row>
    <row r="137" spans="6:6" x14ac:dyDescent="0.25">
      <c r="F137">
        <f>(Note[[#This Row],[Note CC]]+Note[[#This Row],[Note SN]])/2</f>
        <v>0</v>
      </c>
    </row>
    <row r="138" spans="6:6" x14ac:dyDescent="0.25">
      <c r="F138">
        <f>(Note[[#This Row],[Note CC]]+Note[[#This Row],[Note SN]])/2</f>
        <v>0</v>
      </c>
    </row>
    <row r="139" spans="6:6" x14ac:dyDescent="0.25">
      <c r="F139">
        <f>(Note[[#This Row],[Note CC]]+Note[[#This Row],[Note SN]])/2</f>
        <v>0</v>
      </c>
    </row>
    <row r="140" spans="6:6" x14ac:dyDescent="0.25">
      <c r="F140">
        <f>(Note[[#This Row],[Note CC]]+Note[[#This Row],[Note SN]])/2</f>
        <v>0</v>
      </c>
    </row>
    <row r="141" spans="6:6" x14ac:dyDescent="0.25">
      <c r="F141">
        <f>(Note[[#This Row],[Note CC]]+Note[[#This Row],[Note SN]])/2</f>
        <v>0</v>
      </c>
    </row>
    <row r="142" spans="6:6" x14ac:dyDescent="0.25">
      <c r="F142">
        <f>(Note[[#This Row],[Note CC]]+Note[[#This Row],[Note SN]])/2</f>
        <v>0</v>
      </c>
    </row>
    <row r="143" spans="6:6" x14ac:dyDescent="0.25">
      <c r="F143">
        <f>(Note[[#This Row],[Note CC]]+Note[[#This Row],[Note SN]])/2</f>
        <v>0</v>
      </c>
    </row>
    <row r="144" spans="6:6" x14ac:dyDescent="0.25">
      <c r="F144">
        <f>(Note[[#This Row],[Note CC]]+Note[[#This Row],[Note SN]])/2</f>
        <v>0</v>
      </c>
    </row>
    <row r="145" spans="6:6" x14ac:dyDescent="0.25">
      <c r="F145">
        <f>(Note[[#This Row],[Note CC]]+Note[[#This Row],[Note SN]])/2</f>
        <v>0</v>
      </c>
    </row>
    <row r="146" spans="6:6" x14ac:dyDescent="0.25">
      <c r="F146">
        <f>(Note[[#This Row],[Note CC]]+Note[[#This Row],[Note SN]])/2</f>
        <v>0</v>
      </c>
    </row>
    <row r="147" spans="6:6" x14ac:dyDescent="0.25">
      <c r="F147">
        <f>(Note[[#This Row],[Note CC]]+Note[[#This Row],[Note SN]])/2</f>
        <v>0</v>
      </c>
    </row>
    <row r="148" spans="6:6" x14ac:dyDescent="0.25">
      <c r="F148">
        <f>(Note[[#This Row],[Note CC]]+Note[[#This Row],[Note SN]])/2</f>
        <v>0</v>
      </c>
    </row>
    <row r="149" spans="6:6" x14ac:dyDescent="0.25">
      <c r="F149">
        <f>(Note[[#This Row],[Note CC]]+Note[[#This Row],[Note SN]])/2</f>
        <v>0</v>
      </c>
    </row>
    <row r="150" spans="6:6" x14ac:dyDescent="0.25">
      <c r="F150">
        <f>(Note[[#This Row],[Note CC]]+Note[[#This Row],[Note SN]])/2</f>
        <v>0</v>
      </c>
    </row>
    <row r="151" spans="6:6" x14ac:dyDescent="0.25">
      <c r="F151">
        <f>(Note[[#This Row],[Note CC]]+Note[[#This Row],[Note SN]])/2</f>
        <v>0</v>
      </c>
    </row>
    <row r="152" spans="6:6" x14ac:dyDescent="0.25">
      <c r="F152">
        <f>(Note[[#This Row],[Note CC]]+Note[[#This Row],[Note SN]])/2</f>
        <v>0</v>
      </c>
    </row>
    <row r="153" spans="6:6" x14ac:dyDescent="0.25">
      <c r="F153">
        <f>(Note[[#This Row],[Note CC]]+Note[[#This Row],[Note SN]])/2</f>
        <v>0</v>
      </c>
    </row>
    <row r="154" spans="6:6" x14ac:dyDescent="0.25">
      <c r="F154">
        <f>(Note[[#This Row],[Note CC]]+Note[[#This Row],[Note SN]])/2</f>
        <v>0</v>
      </c>
    </row>
    <row r="155" spans="6:6" x14ac:dyDescent="0.25">
      <c r="F155">
        <f>(Note[[#This Row],[Note CC]]+Note[[#This Row],[Note SN]])/2</f>
        <v>0</v>
      </c>
    </row>
    <row r="156" spans="6:6" x14ac:dyDescent="0.25">
      <c r="F156">
        <f>(Note[[#This Row],[Note CC]]+Note[[#This Row],[Note SN]])/2</f>
        <v>0</v>
      </c>
    </row>
    <row r="157" spans="6:6" x14ac:dyDescent="0.25">
      <c r="F157">
        <f>(Note[[#This Row],[Note CC]]+Note[[#This Row],[Note SN]])/2</f>
        <v>0</v>
      </c>
    </row>
    <row r="158" spans="6:6" x14ac:dyDescent="0.25">
      <c r="F158">
        <f>(Note[[#This Row],[Note CC]]+Note[[#This Row],[Note SN]])/2</f>
        <v>0</v>
      </c>
    </row>
    <row r="159" spans="6:6" x14ac:dyDescent="0.25">
      <c r="F159">
        <f>(Note[[#This Row],[Note CC]]+Note[[#This Row],[Note SN]])/2</f>
        <v>0</v>
      </c>
    </row>
    <row r="160" spans="6:6" x14ac:dyDescent="0.25">
      <c r="F160">
        <f>(Note[[#This Row],[Note CC]]+Note[[#This Row],[Note SN]])/2</f>
        <v>0</v>
      </c>
    </row>
    <row r="161" spans="6:6" x14ac:dyDescent="0.25">
      <c r="F161">
        <f>(Note[[#This Row],[Note CC]]+Note[[#This Row],[Note SN]])/2</f>
        <v>0</v>
      </c>
    </row>
    <row r="162" spans="6:6" x14ac:dyDescent="0.25">
      <c r="F162">
        <f>(Note[[#This Row],[Note CC]]+Note[[#This Row],[Note SN]])/2</f>
        <v>0</v>
      </c>
    </row>
    <row r="163" spans="6:6" x14ac:dyDescent="0.25">
      <c r="F163">
        <f>(Note[[#This Row],[Note CC]]+Note[[#This Row],[Note SN]])/2</f>
        <v>0</v>
      </c>
    </row>
    <row r="164" spans="6:6" x14ac:dyDescent="0.25">
      <c r="F164">
        <f>(Note[[#This Row],[Note CC]]+Note[[#This Row],[Note SN]])/2</f>
        <v>0</v>
      </c>
    </row>
    <row r="165" spans="6:6" x14ac:dyDescent="0.25">
      <c r="F165">
        <f>(Note[[#This Row],[Note CC]]+Note[[#This Row],[Note SN]])/2</f>
        <v>0</v>
      </c>
    </row>
    <row r="166" spans="6:6" x14ac:dyDescent="0.25">
      <c r="F166">
        <f>(Note[[#This Row],[Note CC]]+Note[[#This Row],[Note SN]])/2</f>
        <v>0</v>
      </c>
    </row>
    <row r="167" spans="6:6" x14ac:dyDescent="0.25">
      <c r="F167">
        <f>(Note[[#This Row],[Note CC]]+Note[[#This Row],[Note SN]])/2</f>
        <v>0</v>
      </c>
    </row>
    <row r="168" spans="6:6" x14ac:dyDescent="0.25">
      <c r="F168">
        <f>(Note[[#This Row],[Note CC]]+Note[[#This Row],[Note SN]])/2</f>
        <v>0</v>
      </c>
    </row>
    <row r="169" spans="6:6" x14ac:dyDescent="0.25">
      <c r="F169">
        <f>(Note[[#This Row],[Note CC]]+Note[[#This Row],[Note SN]])/2</f>
        <v>0</v>
      </c>
    </row>
    <row r="170" spans="6:6" x14ac:dyDescent="0.25">
      <c r="F170">
        <f>(Note[[#This Row],[Note CC]]+Note[[#This Row],[Note SN]])/2</f>
        <v>0</v>
      </c>
    </row>
    <row r="171" spans="6:6" x14ac:dyDescent="0.25">
      <c r="F171">
        <f>(Note[[#This Row],[Note CC]]+Note[[#This Row],[Note SN]])/2</f>
        <v>0</v>
      </c>
    </row>
    <row r="172" spans="6:6" x14ac:dyDescent="0.25">
      <c r="F172">
        <f>(Note[[#This Row],[Note CC]]+Note[[#This Row],[Note SN]])/2</f>
        <v>0</v>
      </c>
    </row>
    <row r="173" spans="6:6" x14ac:dyDescent="0.25">
      <c r="F173">
        <f>(Note[[#This Row],[Note CC]]+Note[[#This Row],[Note SN]])/2</f>
        <v>0</v>
      </c>
    </row>
    <row r="174" spans="6:6" x14ac:dyDescent="0.25">
      <c r="F174">
        <f>(Note[[#This Row],[Note CC]]+Note[[#This Row],[Note SN]])/2</f>
        <v>0</v>
      </c>
    </row>
    <row r="175" spans="6:6" x14ac:dyDescent="0.25">
      <c r="F175">
        <f>(Note[[#This Row],[Note CC]]+Note[[#This Row],[Note SN]])/2</f>
        <v>0</v>
      </c>
    </row>
    <row r="176" spans="6:6" x14ac:dyDescent="0.25">
      <c r="F176">
        <f>(Note[[#This Row],[Note CC]]+Note[[#This Row],[Note SN]])/2</f>
        <v>0</v>
      </c>
    </row>
    <row r="177" spans="6:6" x14ac:dyDescent="0.25">
      <c r="F177">
        <f>(Note[[#This Row],[Note CC]]+Note[[#This Row],[Note SN]])/2</f>
        <v>0</v>
      </c>
    </row>
    <row r="178" spans="6:6" x14ac:dyDescent="0.25">
      <c r="F178">
        <f>(Note[[#This Row],[Note CC]]+Note[[#This Row],[Note SN]])/2</f>
        <v>0</v>
      </c>
    </row>
    <row r="179" spans="6:6" x14ac:dyDescent="0.25">
      <c r="F179">
        <f>(Note[[#This Row],[Note CC]]+Note[[#This Row],[Note SN]])/2</f>
        <v>0</v>
      </c>
    </row>
    <row r="180" spans="6:6" x14ac:dyDescent="0.25">
      <c r="F180">
        <f>(Note[[#This Row],[Note CC]]+Note[[#This Row],[Note SN]])/2</f>
        <v>0</v>
      </c>
    </row>
    <row r="181" spans="6:6" x14ac:dyDescent="0.25">
      <c r="F181">
        <f>(Note[[#This Row],[Note CC]]+Note[[#This Row],[Note SN]])/2</f>
        <v>0</v>
      </c>
    </row>
    <row r="182" spans="6:6" x14ac:dyDescent="0.25">
      <c r="F182">
        <f>(Note[[#This Row],[Note CC]]+Note[[#This Row],[Note SN]])/2</f>
        <v>0</v>
      </c>
    </row>
    <row r="183" spans="6:6" x14ac:dyDescent="0.25">
      <c r="F183">
        <f>(Note[[#This Row],[Note CC]]+Note[[#This Row],[Note SN]])/2</f>
        <v>0</v>
      </c>
    </row>
    <row r="184" spans="6:6" x14ac:dyDescent="0.25">
      <c r="F184">
        <f>(Note[[#This Row],[Note CC]]+Note[[#This Row],[Note SN]])/2</f>
        <v>0</v>
      </c>
    </row>
    <row r="185" spans="6:6" x14ac:dyDescent="0.25">
      <c r="F185">
        <f>(Note[[#This Row],[Note CC]]+Note[[#This Row],[Note SN]])/2</f>
        <v>0</v>
      </c>
    </row>
    <row r="186" spans="6:6" x14ac:dyDescent="0.25">
      <c r="F186">
        <f>(Note[[#This Row],[Note CC]]+Note[[#This Row],[Note SN]])/2</f>
        <v>0</v>
      </c>
    </row>
    <row r="187" spans="6:6" x14ac:dyDescent="0.25">
      <c r="F187">
        <f>(Note[[#This Row],[Note CC]]+Note[[#This Row],[Note SN]])/2</f>
        <v>0</v>
      </c>
    </row>
    <row r="188" spans="6:6" x14ac:dyDescent="0.25">
      <c r="F188">
        <f>(Note[[#This Row],[Note CC]]+Note[[#This Row],[Note SN]])/2</f>
        <v>0</v>
      </c>
    </row>
    <row r="189" spans="6:6" x14ac:dyDescent="0.25">
      <c r="F189">
        <f>(Note[[#This Row],[Note CC]]+Note[[#This Row],[Note SN]])/2</f>
        <v>0</v>
      </c>
    </row>
    <row r="190" spans="6:6" x14ac:dyDescent="0.25">
      <c r="F190">
        <f>(Note[[#This Row],[Note CC]]+Note[[#This Row],[Note SN]])/2</f>
        <v>0</v>
      </c>
    </row>
    <row r="191" spans="6:6" x14ac:dyDescent="0.25">
      <c r="F191">
        <f>(Note[[#This Row],[Note CC]]+Note[[#This Row],[Note SN]])/2</f>
        <v>0</v>
      </c>
    </row>
    <row r="192" spans="6:6" x14ac:dyDescent="0.25">
      <c r="F192">
        <f>(Note[[#This Row],[Note CC]]+Note[[#This Row],[Note SN]])/2</f>
        <v>0</v>
      </c>
    </row>
    <row r="193" spans="6:6" x14ac:dyDescent="0.25">
      <c r="F193">
        <f>(Note[[#This Row],[Note CC]]+Note[[#This Row],[Note SN]])/2</f>
        <v>0</v>
      </c>
    </row>
    <row r="194" spans="6:6" x14ac:dyDescent="0.25">
      <c r="F194">
        <f>(Note[[#This Row],[Note CC]]+Note[[#This Row],[Note SN]])/2</f>
        <v>0</v>
      </c>
    </row>
    <row r="195" spans="6:6" x14ac:dyDescent="0.25">
      <c r="F195">
        <f>(Note[[#This Row],[Note CC]]+Note[[#This Row],[Note SN]])/2</f>
        <v>0</v>
      </c>
    </row>
    <row r="196" spans="6:6" x14ac:dyDescent="0.25">
      <c r="F196">
        <f>(Note[[#This Row],[Note CC]]+Note[[#This Row],[Note SN]])/2</f>
        <v>0</v>
      </c>
    </row>
    <row r="197" spans="6:6" x14ac:dyDescent="0.25">
      <c r="F197">
        <f>(Note[[#This Row],[Note CC]]+Note[[#This Row],[Note SN]])/2</f>
        <v>0</v>
      </c>
    </row>
    <row r="198" spans="6:6" x14ac:dyDescent="0.25">
      <c r="F198">
        <f>(Note[[#This Row],[Note CC]]+Note[[#This Row],[Note SN]])/2</f>
        <v>0</v>
      </c>
    </row>
    <row r="199" spans="6:6" x14ac:dyDescent="0.25">
      <c r="F199">
        <f>(Note[[#This Row],[Note CC]]+Note[[#This Row],[Note SN]])/2</f>
        <v>0</v>
      </c>
    </row>
    <row r="200" spans="6:6" x14ac:dyDescent="0.25">
      <c r="F200">
        <f>(Note[[#This Row],[Note CC]]+Note[[#This Row],[Note SN]])/2</f>
        <v>0</v>
      </c>
    </row>
    <row r="201" spans="6:6" x14ac:dyDescent="0.25">
      <c r="F201">
        <f>(Note[[#This Row],[Note CC]]+Note[[#This Row],[Note SN]])/2</f>
        <v>0</v>
      </c>
    </row>
    <row r="202" spans="6:6" x14ac:dyDescent="0.25">
      <c r="F202">
        <f>(Note[[#This Row],[Note CC]]+Note[[#This Row],[Note SN]])/2</f>
        <v>0</v>
      </c>
    </row>
    <row r="203" spans="6:6" x14ac:dyDescent="0.25">
      <c r="F203">
        <f>(Note[[#This Row],[Note CC]]+Note[[#This Row],[Note SN]])/2</f>
        <v>0</v>
      </c>
    </row>
    <row r="204" spans="6:6" x14ac:dyDescent="0.25">
      <c r="F204">
        <f>(Note[[#This Row],[Note CC]]+Note[[#This Row],[Note SN]])/2</f>
        <v>0</v>
      </c>
    </row>
    <row r="205" spans="6:6" x14ac:dyDescent="0.25">
      <c r="F205">
        <f>(Note[[#This Row],[Note CC]]+Note[[#This Row],[Note SN]])/2</f>
        <v>0</v>
      </c>
    </row>
    <row r="206" spans="6:6" x14ac:dyDescent="0.25">
      <c r="F206">
        <f>(Note[[#This Row],[Note CC]]+Note[[#This Row],[Note SN]])/2</f>
        <v>0</v>
      </c>
    </row>
    <row r="207" spans="6:6" x14ac:dyDescent="0.25">
      <c r="F207">
        <f>(Note[[#This Row],[Note CC]]+Note[[#This Row],[Note SN]])/2</f>
        <v>0</v>
      </c>
    </row>
    <row r="208" spans="6:6" x14ac:dyDescent="0.25">
      <c r="F208">
        <f>(Note[[#This Row],[Note CC]]+Note[[#This Row],[Note SN]])/2</f>
        <v>0</v>
      </c>
    </row>
    <row r="209" spans="6:6" x14ac:dyDescent="0.25">
      <c r="F209">
        <f>(Note[[#This Row],[Note CC]]+Note[[#This Row],[Note SN]])/2</f>
        <v>0</v>
      </c>
    </row>
    <row r="210" spans="6:6" x14ac:dyDescent="0.25">
      <c r="F210">
        <f>(Note[[#This Row],[Note CC]]+Note[[#This Row],[Note SN]])/2</f>
        <v>0</v>
      </c>
    </row>
    <row r="211" spans="6:6" x14ac:dyDescent="0.25">
      <c r="F211">
        <f>(Note[[#This Row],[Note CC]]+Note[[#This Row],[Note SN]])/2</f>
        <v>0</v>
      </c>
    </row>
    <row r="212" spans="6:6" x14ac:dyDescent="0.25">
      <c r="F212">
        <f>(Note[[#This Row],[Note CC]]+Note[[#This Row],[Note SN]])/2</f>
        <v>0</v>
      </c>
    </row>
    <row r="213" spans="6:6" x14ac:dyDescent="0.25">
      <c r="F213">
        <f>(Note[[#This Row],[Note CC]]+Note[[#This Row],[Note SN]])/2</f>
        <v>0</v>
      </c>
    </row>
    <row r="214" spans="6:6" x14ac:dyDescent="0.25">
      <c r="F214">
        <f>(Note[[#This Row],[Note CC]]+Note[[#This Row],[Note SN]])/2</f>
        <v>0</v>
      </c>
    </row>
    <row r="215" spans="6:6" x14ac:dyDescent="0.25">
      <c r="F215">
        <f>(Note[[#This Row],[Note CC]]+Note[[#This Row],[Note SN]])/2</f>
        <v>0</v>
      </c>
    </row>
    <row r="216" spans="6:6" x14ac:dyDescent="0.25">
      <c r="F216">
        <f>(Note[[#This Row],[Note CC]]+Note[[#This Row],[Note SN]])/2</f>
        <v>0</v>
      </c>
    </row>
    <row r="217" spans="6:6" x14ac:dyDescent="0.25">
      <c r="F217">
        <f>(Note[[#This Row],[Note CC]]+Note[[#This Row],[Note SN]])/2</f>
        <v>0</v>
      </c>
    </row>
    <row r="218" spans="6:6" x14ac:dyDescent="0.25">
      <c r="F218">
        <f>(Note[[#This Row],[Note CC]]+Note[[#This Row],[Note SN]])/2</f>
        <v>0</v>
      </c>
    </row>
    <row r="219" spans="6:6" x14ac:dyDescent="0.25">
      <c r="F219">
        <f>(Note[[#This Row],[Note CC]]+Note[[#This Row],[Note SN]])/2</f>
        <v>0</v>
      </c>
    </row>
    <row r="220" spans="6:6" x14ac:dyDescent="0.25">
      <c r="F220">
        <f>(Note[[#This Row],[Note CC]]+Note[[#This Row],[Note SN]])/2</f>
        <v>0</v>
      </c>
    </row>
    <row r="221" spans="6:6" x14ac:dyDescent="0.25">
      <c r="F221">
        <f>(Note[[#This Row],[Note CC]]+Note[[#This Row],[Note SN]])/2</f>
        <v>0</v>
      </c>
    </row>
    <row r="222" spans="6:6" x14ac:dyDescent="0.25">
      <c r="F222">
        <f>(Note[[#This Row],[Note CC]]+Note[[#This Row],[Note SN]])/2</f>
        <v>0</v>
      </c>
    </row>
    <row r="223" spans="6:6" x14ac:dyDescent="0.25">
      <c r="F223">
        <f>(Note[[#This Row],[Note CC]]+Note[[#This Row],[Note SN]])/2</f>
        <v>0</v>
      </c>
    </row>
    <row r="224" spans="6:6" x14ac:dyDescent="0.25">
      <c r="F224">
        <f>(Note[[#This Row],[Note CC]]+Note[[#This Row],[Note SN]])/2</f>
        <v>0</v>
      </c>
    </row>
    <row r="225" spans="6:6" x14ac:dyDescent="0.25">
      <c r="F225">
        <f>(Note[[#This Row],[Note CC]]+Note[[#This Row],[Note SN]])/2</f>
        <v>0</v>
      </c>
    </row>
    <row r="226" spans="6:6" x14ac:dyDescent="0.25">
      <c r="F226">
        <f>(Note[[#This Row],[Note CC]]+Note[[#This Row],[Note SN]])/2</f>
        <v>0</v>
      </c>
    </row>
    <row r="227" spans="6:6" x14ac:dyDescent="0.25">
      <c r="F227">
        <f>(Note[[#This Row],[Note CC]]+Note[[#This Row],[Note SN]])/2</f>
        <v>0</v>
      </c>
    </row>
    <row r="228" spans="6:6" x14ac:dyDescent="0.25">
      <c r="F228">
        <f>(Note[[#This Row],[Note CC]]+Note[[#This Row],[Note SN]])/2</f>
        <v>0</v>
      </c>
    </row>
    <row r="229" spans="6:6" x14ac:dyDescent="0.25">
      <c r="F229">
        <f>(Note[[#This Row],[Note CC]]+Note[[#This Row],[Note SN]])/2</f>
        <v>0</v>
      </c>
    </row>
    <row r="230" spans="6:6" x14ac:dyDescent="0.25">
      <c r="F230">
        <f>(Note[[#This Row],[Note CC]]+Note[[#This Row],[Note SN]])/2</f>
        <v>0</v>
      </c>
    </row>
    <row r="231" spans="6:6" x14ac:dyDescent="0.25">
      <c r="F231">
        <f>(Note[[#This Row],[Note CC]]+Note[[#This Row],[Note SN]])/2</f>
        <v>0</v>
      </c>
    </row>
    <row r="232" spans="6:6" x14ac:dyDescent="0.25">
      <c r="F232">
        <f>(Note[[#This Row],[Note CC]]+Note[[#This Row],[Note SN]])/2</f>
        <v>0</v>
      </c>
    </row>
    <row r="233" spans="6:6" x14ac:dyDescent="0.25">
      <c r="F233">
        <f>(Note[[#This Row],[Note CC]]+Note[[#This Row],[Note SN]])/2</f>
        <v>0</v>
      </c>
    </row>
    <row r="234" spans="6:6" x14ac:dyDescent="0.25">
      <c r="F234">
        <f>(Note[[#This Row],[Note CC]]+Note[[#This Row],[Note SN]])/2</f>
        <v>0</v>
      </c>
    </row>
    <row r="235" spans="6:6" x14ac:dyDescent="0.25">
      <c r="F235">
        <f>(Note[[#This Row],[Note CC]]+Note[[#This Row],[Note SN]])/2</f>
        <v>0</v>
      </c>
    </row>
    <row r="236" spans="6:6" x14ac:dyDescent="0.25">
      <c r="F236">
        <f>(Note[[#This Row],[Note CC]]+Note[[#This Row],[Note SN]])/2</f>
        <v>0</v>
      </c>
    </row>
    <row r="237" spans="6:6" x14ac:dyDescent="0.25">
      <c r="F237">
        <f>(Note[[#This Row],[Note CC]]+Note[[#This Row],[Note SN]])/2</f>
        <v>0</v>
      </c>
    </row>
    <row r="238" spans="6:6" x14ac:dyDescent="0.25">
      <c r="F238">
        <f>(Note[[#This Row],[Note CC]]+Note[[#This Row],[Note SN]])/2</f>
        <v>0</v>
      </c>
    </row>
    <row r="239" spans="6:6" x14ac:dyDescent="0.25">
      <c r="F239">
        <f>(Note[[#This Row],[Note CC]]+Note[[#This Row],[Note SN]])/2</f>
        <v>0</v>
      </c>
    </row>
    <row r="240" spans="6:6" x14ac:dyDescent="0.25">
      <c r="F240">
        <f>(Note[[#This Row],[Note CC]]+Note[[#This Row],[Note SN]])/2</f>
        <v>0</v>
      </c>
    </row>
    <row r="241" spans="6:6" x14ac:dyDescent="0.25">
      <c r="F241">
        <f>(Note[[#This Row],[Note CC]]+Note[[#This Row],[Note SN]])/2</f>
        <v>0</v>
      </c>
    </row>
    <row r="242" spans="6:6" x14ac:dyDescent="0.25">
      <c r="F242">
        <f>(Note[[#This Row],[Note CC]]+Note[[#This Row],[Note SN]])/2</f>
        <v>0</v>
      </c>
    </row>
    <row r="243" spans="6:6" x14ac:dyDescent="0.25">
      <c r="F243">
        <f>(Note[[#This Row],[Note CC]]+Note[[#This Row],[Note SN]])/2</f>
        <v>0</v>
      </c>
    </row>
    <row r="244" spans="6:6" x14ac:dyDescent="0.25">
      <c r="F244">
        <f>(Note[[#This Row],[Note CC]]+Note[[#This Row],[Note SN]])/2</f>
        <v>0</v>
      </c>
    </row>
    <row r="245" spans="6:6" x14ac:dyDescent="0.25">
      <c r="F245">
        <f>(Note[[#This Row],[Note CC]]+Note[[#This Row],[Note SN]])/2</f>
        <v>0</v>
      </c>
    </row>
    <row r="246" spans="6:6" x14ac:dyDescent="0.25">
      <c r="F246">
        <f>(Note[[#This Row],[Note CC]]+Note[[#This Row],[Note SN]])/2</f>
        <v>0</v>
      </c>
    </row>
    <row r="247" spans="6:6" x14ac:dyDescent="0.25">
      <c r="F247">
        <f>(Note[[#This Row],[Note CC]]+Note[[#This Row],[Note SN]])/2</f>
        <v>0</v>
      </c>
    </row>
    <row r="248" spans="6:6" x14ac:dyDescent="0.25">
      <c r="F248">
        <f>(Note[[#This Row],[Note CC]]+Note[[#This Row],[Note SN]])/2</f>
        <v>0</v>
      </c>
    </row>
    <row r="249" spans="6:6" x14ac:dyDescent="0.25">
      <c r="F249">
        <f>(Note[[#This Row],[Note CC]]+Note[[#This Row],[Note SN]])/2</f>
        <v>0</v>
      </c>
    </row>
    <row r="250" spans="6:6" x14ac:dyDescent="0.25">
      <c r="F250">
        <f>(Note[[#This Row],[Note CC]]+Note[[#This Row],[Note SN]])/2</f>
        <v>0</v>
      </c>
    </row>
    <row r="251" spans="6:6" x14ac:dyDescent="0.25">
      <c r="F251">
        <f>(Note[[#This Row],[Note CC]]+Note[[#This Row],[Note SN]])/2</f>
        <v>0</v>
      </c>
    </row>
    <row r="252" spans="6:6" x14ac:dyDescent="0.25">
      <c r="F252">
        <f>(Note[[#This Row],[Note CC]]+Note[[#This Row],[Note SN]])/2</f>
        <v>0</v>
      </c>
    </row>
    <row r="253" spans="6:6" x14ac:dyDescent="0.25">
      <c r="F253">
        <f>(Note[[#This Row],[Note CC]]+Note[[#This Row],[Note SN]])/2</f>
        <v>0</v>
      </c>
    </row>
    <row r="254" spans="6:6" x14ac:dyDescent="0.25">
      <c r="F254">
        <f>(Note[[#This Row],[Note CC]]+Note[[#This Row],[Note SN]])/2</f>
        <v>0</v>
      </c>
    </row>
    <row r="255" spans="6:6" x14ac:dyDescent="0.25">
      <c r="F255">
        <f>(Note[[#This Row],[Note CC]]+Note[[#This Row],[Note SN]])/2</f>
        <v>0</v>
      </c>
    </row>
    <row r="256" spans="6:6" x14ac:dyDescent="0.25">
      <c r="F256">
        <f>(Note[[#This Row],[Note CC]]+Note[[#This Row],[Note SN]])/2</f>
        <v>0</v>
      </c>
    </row>
    <row r="257" spans="6:6" x14ac:dyDescent="0.25">
      <c r="F257">
        <f>(Note[[#This Row],[Note CC]]+Note[[#This Row],[Note SN]])/2</f>
        <v>0</v>
      </c>
    </row>
    <row r="258" spans="6:6" x14ac:dyDescent="0.25">
      <c r="F258">
        <f>(Note[[#This Row],[Note CC]]+Note[[#This Row],[Note SN]])/2</f>
        <v>0</v>
      </c>
    </row>
    <row r="259" spans="6:6" x14ac:dyDescent="0.25">
      <c r="F259">
        <f>(Note[[#This Row],[Note CC]]+Note[[#This Row],[Note SN]])/2</f>
        <v>0</v>
      </c>
    </row>
    <row r="260" spans="6:6" x14ac:dyDescent="0.25">
      <c r="F260">
        <f>(Note[[#This Row],[Note CC]]+Note[[#This Row],[Note SN]])/2</f>
        <v>0</v>
      </c>
    </row>
    <row r="261" spans="6:6" x14ac:dyDescent="0.25">
      <c r="F261">
        <f>(Note[[#This Row],[Note CC]]+Note[[#This Row],[Note SN]])/2</f>
        <v>0</v>
      </c>
    </row>
    <row r="262" spans="6:6" x14ac:dyDescent="0.25">
      <c r="F262">
        <f>(Note[[#This Row],[Note CC]]+Note[[#This Row],[Note SN]])/2</f>
        <v>0</v>
      </c>
    </row>
    <row r="263" spans="6:6" x14ac:dyDescent="0.25">
      <c r="F263">
        <f>(Note[[#This Row],[Note CC]]+Note[[#This Row],[Note SN]])/2</f>
        <v>0</v>
      </c>
    </row>
    <row r="264" spans="6:6" x14ac:dyDescent="0.25">
      <c r="F264">
        <f>(Note[[#This Row],[Note CC]]+Note[[#This Row],[Note SN]])/2</f>
        <v>0</v>
      </c>
    </row>
    <row r="265" spans="6:6" x14ac:dyDescent="0.25">
      <c r="F265">
        <f>(Note[[#This Row],[Note CC]]+Note[[#This Row],[Note SN]])/2</f>
        <v>0</v>
      </c>
    </row>
    <row r="266" spans="6:6" x14ac:dyDescent="0.25">
      <c r="F266">
        <f>(Note[[#This Row],[Note CC]]+Note[[#This Row],[Note SN]])/2</f>
        <v>0</v>
      </c>
    </row>
    <row r="267" spans="6:6" x14ac:dyDescent="0.25">
      <c r="F267">
        <f>(Note[[#This Row],[Note CC]]+Note[[#This Row],[Note SN]])/2</f>
        <v>0</v>
      </c>
    </row>
    <row r="268" spans="6:6" x14ac:dyDescent="0.25">
      <c r="F268">
        <f>(Note[[#This Row],[Note CC]]+Note[[#This Row],[Note SN]])/2</f>
        <v>0</v>
      </c>
    </row>
    <row r="269" spans="6:6" x14ac:dyDescent="0.25">
      <c r="F269">
        <f>(Note[[#This Row],[Note CC]]+Note[[#This Row],[Note SN]])/2</f>
        <v>0</v>
      </c>
    </row>
    <row r="270" spans="6:6" x14ac:dyDescent="0.25">
      <c r="F270">
        <f>(Note[[#This Row],[Note CC]]+Note[[#This Row],[Note SN]])/2</f>
        <v>0</v>
      </c>
    </row>
    <row r="271" spans="6:6" x14ac:dyDescent="0.25">
      <c r="F271">
        <f>(Note[[#This Row],[Note CC]]+Note[[#This Row],[Note SN]])/2</f>
        <v>0</v>
      </c>
    </row>
    <row r="272" spans="6:6" x14ac:dyDescent="0.25">
      <c r="F272">
        <f>(Note[[#This Row],[Note CC]]+Note[[#This Row],[Note SN]])/2</f>
        <v>0</v>
      </c>
    </row>
    <row r="273" spans="6:6" x14ac:dyDescent="0.25">
      <c r="F273">
        <f>(Note[[#This Row],[Note CC]]+Note[[#This Row],[Note SN]])/2</f>
        <v>0</v>
      </c>
    </row>
    <row r="274" spans="6:6" x14ac:dyDescent="0.25">
      <c r="F274">
        <f>(Note[[#This Row],[Note CC]]+Note[[#This Row],[Note SN]])/2</f>
        <v>0</v>
      </c>
    </row>
    <row r="275" spans="6:6" x14ac:dyDescent="0.25">
      <c r="F275">
        <f>(Note[[#This Row],[Note CC]]+Note[[#This Row],[Note SN]])/2</f>
        <v>0</v>
      </c>
    </row>
    <row r="276" spans="6:6" x14ac:dyDescent="0.25">
      <c r="F276">
        <f>(Note[[#This Row],[Note CC]]+Note[[#This Row],[Note SN]])/2</f>
        <v>0</v>
      </c>
    </row>
    <row r="277" spans="6:6" x14ac:dyDescent="0.25">
      <c r="F277">
        <f>(Note[[#This Row],[Note CC]]+Note[[#This Row],[Note SN]])/2</f>
        <v>0</v>
      </c>
    </row>
    <row r="278" spans="6:6" x14ac:dyDescent="0.25">
      <c r="F278">
        <f>(Note[[#This Row],[Note CC]]+Note[[#This Row],[Note SN]])/2</f>
        <v>0</v>
      </c>
    </row>
    <row r="279" spans="6:6" x14ac:dyDescent="0.25">
      <c r="F279">
        <f>(Note[[#This Row],[Note CC]]+Note[[#This Row],[Note SN]])/2</f>
        <v>0</v>
      </c>
    </row>
    <row r="280" spans="6:6" x14ac:dyDescent="0.25">
      <c r="F280">
        <f>(Note[[#This Row],[Note CC]]+Note[[#This Row],[Note SN]])/2</f>
        <v>0</v>
      </c>
    </row>
    <row r="281" spans="6:6" x14ac:dyDescent="0.25">
      <c r="F281">
        <f>(Note[[#This Row],[Note CC]]+Note[[#This Row],[Note SN]])/2</f>
        <v>0</v>
      </c>
    </row>
    <row r="282" spans="6:6" x14ac:dyDescent="0.25">
      <c r="F282">
        <f>(Note[[#This Row],[Note CC]]+Note[[#This Row],[Note SN]])/2</f>
        <v>0</v>
      </c>
    </row>
    <row r="283" spans="6:6" x14ac:dyDescent="0.25">
      <c r="F283">
        <f>(Note[[#This Row],[Note CC]]+Note[[#This Row],[Note SN]])/2</f>
        <v>0</v>
      </c>
    </row>
    <row r="284" spans="6:6" x14ac:dyDescent="0.25">
      <c r="F284">
        <f>(Note[[#This Row],[Note CC]]+Note[[#This Row],[Note SN]])/2</f>
        <v>0</v>
      </c>
    </row>
    <row r="285" spans="6:6" x14ac:dyDescent="0.25">
      <c r="F285">
        <f>(Note[[#This Row],[Note CC]]+Note[[#This Row],[Note SN]])/2</f>
        <v>0</v>
      </c>
    </row>
    <row r="286" spans="6:6" x14ac:dyDescent="0.25">
      <c r="F286">
        <f>(Note[[#This Row],[Note CC]]+Note[[#This Row],[Note SN]])/2</f>
        <v>0</v>
      </c>
    </row>
    <row r="287" spans="6:6" x14ac:dyDescent="0.25">
      <c r="F287">
        <f>(Note[[#This Row],[Note CC]]+Note[[#This Row],[Note SN]])/2</f>
        <v>0</v>
      </c>
    </row>
    <row r="288" spans="6:6" x14ac:dyDescent="0.25">
      <c r="F288">
        <f>(Note[[#This Row],[Note CC]]+Note[[#This Row],[Note SN]])/2</f>
        <v>0</v>
      </c>
    </row>
    <row r="289" spans="6:6" x14ac:dyDescent="0.25">
      <c r="F289">
        <f>(Note[[#This Row],[Note CC]]+Note[[#This Row],[Note SN]])/2</f>
        <v>0</v>
      </c>
    </row>
    <row r="290" spans="6:6" x14ac:dyDescent="0.25">
      <c r="F290">
        <f>(Note[[#This Row],[Note CC]]+Note[[#This Row],[Note SN]])/2</f>
        <v>0</v>
      </c>
    </row>
    <row r="291" spans="6:6" x14ac:dyDescent="0.25">
      <c r="F291">
        <f>(Note[[#This Row],[Note CC]]+Note[[#This Row],[Note SN]])/2</f>
        <v>0</v>
      </c>
    </row>
    <row r="292" spans="6:6" x14ac:dyDescent="0.25">
      <c r="F292">
        <f>(Note[[#This Row],[Note CC]]+Note[[#This Row],[Note SN]])/2</f>
        <v>0</v>
      </c>
    </row>
    <row r="293" spans="6:6" x14ac:dyDescent="0.25">
      <c r="F293">
        <f>(Note[[#This Row],[Note CC]]+Note[[#This Row],[Note SN]])/2</f>
        <v>0</v>
      </c>
    </row>
    <row r="294" spans="6:6" x14ac:dyDescent="0.25">
      <c r="F294">
        <f>(Note[[#This Row],[Note CC]]+Note[[#This Row],[Note SN]])/2</f>
        <v>0</v>
      </c>
    </row>
    <row r="295" spans="6:6" x14ac:dyDescent="0.25">
      <c r="F295">
        <f>(Note[[#This Row],[Note CC]]+Note[[#This Row],[Note SN]])/2</f>
        <v>0</v>
      </c>
    </row>
    <row r="296" spans="6:6" x14ac:dyDescent="0.25">
      <c r="F296">
        <f>(Note[[#This Row],[Note CC]]+Note[[#This Row],[Note SN]])/2</f>
        <v>0</v>
      </c>
    </row>
    <row r="297" spans="6:6" x14ac:dyDescent="0.25">
      <c r="F297">
        <f>(Note[[#This Row],[Note CC]]+Note[[#This Row],[Note SN]])/2</f>
        <v>0</v>
      </c>
    </row>
    <row r="298" spans="6:6" x14ac:dyDescent="0.25">
      <c r="F298">
        <f>(Note[[#This Row],[Note CC]]+Note[[#This Row],[Note SN]])/2</f>
        <v>0</v>
      </c>
    </row>
    <row r="299" spans="6:6" x14ac:dyDescent="0.25">
      <c r="F299">
        <f>(Note[[#This Row],[Note CC]]+Note[[#This Row],[Note SN]])/2</f>
        <v>0</v>
      </c>
    </row>
    <row r="300" spans="6:6" x14ac:dyDescent="0.25">
      <c r="F300">
        <f>(Note[[#This Row],[Note CC]]+Note[[#This Row],[Note SN]])/2</f>
        <v>0</v>
      </c>
    </row>
    <row r="301" spans="6:6" x14ac:dyDescent="0.25">
      <c r="F301">
        <f>(Note[[#This Row],[Note CC]]+Note[[#This Row],[Note SN]])/2</f>
        <v>0</v>
      </c>
    </row>
    <row r="302" spans="6:6" x14ac:dyDescent="0.25">
      <c r="F302">
        <f>(Note[[#This Row],[Note CC]]+Note[[#This Row],[Note SN]])/2</f>
        <v>0</v>
      </c>
    </row>
    <row r="303" spans="6:6" x14ac:dyDescent="0.25">
      <c r="F303">
        <f>(Note[[#This Row],[Note CC]]+Note[[#This Row],[Note SN]])/2</f>
        <v>0</v>
      </c>
    </row>
    <row r="304" spans="6:6" x14ac:dyDescent="0.25">
      <c r="F304">
        <f>(Note[[#This Row],[Note CC]]+Note[[#This Row],[Note SN]])/2</f>
        <v>0</v>
      </c>
    </row>
    <row r="305" spans="6:6" x14ac:dyDescent="0.25">
      <c r="F305">
        <f>(Note[[#This Row],[Note CC]]+Note[[#This Row],[Note SN]])/2</f>
        <v>0</v>
      </c>
    </row>
    <row r="306" spans="6:6" x14ac:dyDescent="0.25">
      <c r="F306">
        <f>(Note[[#This Row],[Note CC]]+Note[[#This Row],[Note SN]])/2</f>
        <v>0</v>
      </c>
    </row>
    <row r="307" spans="6:6" x14ac:dyDescent="0.25">
      <c r="F307">
        <f>(Note[[#This Row],[Note CC]]+Note[[#This Row],[Note SN]])/2</f>
        <v>0</v>
      </c>
    </row>
    <row r="308" spans="6:6" x14ac:dyDescent="0.25">
      <c r="F308">
        <f>(Note[[#This Row],[Note CC]]+Note[[#This Row],[Note SN]])/2</f>
        <v>0</v>
      </c>
    </row>
    <row r="309" spans="6:6" x14ac:dyDescent="0.25">
      <c r="F309">
        <f>(Note[[#This Row],[Note CC]]+Note[[#This Row],[Note SN]])/2</f>
        <v>0</v>
      </c>
    </row>
    <row r="310" spans="6:6" x14ac:dyDescent="0.25">
      <c r="F310">
        <f>(Note[[#This Row],[Note CC]]+Note[[#This Row],[Note SN]])/2</f>
        <v>0</v>
      </c>
    </row>
    <row r="311" spans="6:6" x14ac:dyDescent="0.25">
      <c r="F311">
        <f>(Note[[#This Row],[Note CC]]+Note[[#This Row],[Note SN]])/2</f>
        <v>0</v>
      </c>
    </row>
    <row r="312" spans="6:6" x14ac:dyDescent="0.25">
      <c r="F312">
        <f>(Note[[#This Row],[Note CC]]+Note[[#This Row],[Note SN]])/2</f>
        <v>0</v>
      </c>
    </row>
    <row r="313" spans="6:6" x14ac:dyDescent="0.25">
      <c r="F313">
        <f>(Note[[#This Row],[Note CC]]+Note[[#This Row],[Note SN]])/2</f>
        <v>0</v>
      </c>
    </row>
    <row r="314" spans="6:6" x14ac:dyDescent="0.25">
      <c r="F314">
        <f>(Note[[#This Row],[Note CC]]+Note[[#This Row],[Note SN]])/2</f>
        <v>0</v>
      </c>
    </row>
    <row r="315" spans="6:6" x14ac:dyDescent="0.25">
      <c r="F315">
        <f>(Note[[#This Row],[Note CC]]+Note[[#This Row],[Note SN]])/2</f>
        <v>0</v>
      </c>
    </row>
    <row r="316" spans="6:6" x14ac:dyDescent="0.25">
      <c r="F316">
        <f>(Note[[#This Row],[Note CC]]+Note[[#This Row],[Note SN]])/2</f>
        <v>0</v>
      </c>
    </row>
    <row r="317" spans="6:6" x14ac:dyDescent="0.25">
      <c r="F317">
        <f>(Note[[#This Row],[Note CC]]+Note[[#This Row],[Note SN]])/2</f>
        <v>0</v>
      </c>
    </row>
    <row r="318" spans="6:6" x14ac:dyDescent="0.25">
      <c r="F318">
        <f>(Note[[#This Row],[Note CC]]+Note[[#This Row],[Note SN]])/2</f>
        <v>0</v>
      </c>
    </row>
    <row r="319" spans="6:6" x14ac:dyDescent="0.25">
      <c r="F319">
        <f>(Note[[#This Row],[Note CC]]+Note[[#This Row],[Note SN]])/2</f>
        <v>0</v>
      </c>
    </row>
    <row r="320" spans="6:6" x14ac:dyDescent="0.25">
      <c r="F320">
        <f>(Note[[#This Row],[Note CC]]+Note[[#This Row],[Note SN]])/2</f>
        <v>0</v>
      </c>
    </row>
    <row r="321" spans="6:6" x14ac:dyDescent="0.25">
      <c r="F321">
        <f>(Note[[#This Row],[Note CC]]+Note[[#This Row],[Note SN]])/2</f>
        <v>0</v>
      </c>
    </row>
    <row r="322" spans="6:6" x14ac:dyDescent="0.25">
      <c r="F322">
        <f>(Note[[#This Row],[Note CC]]+Note[[#This Row],[Note SN]])/2</f>
        <v>0</v>
      </c>
    </row>
    <row r="323" spans="6:6" x14ac:dyDescent="0.25">
      <c r="F323">
        <f>(Note[[#This Row],[Note CC]]+Note[[#This Row],[Note SN]])/2</f>
        <v>0</v>
      </c>
    </row>
    <row r="324" spans="6:6" x14ac:dyDescent="0.25">
      <c r="F324">
        <f>(Note[[#This Row],[Note CC]]+Note[[#This Row],[Note SN]])/2</f>
        <v>0</v>
      </c>
    </row>
    <row r="325" spans="6:6" x14ac:dyDescent="0.25">
      <c r="F325">
        <f>(Note[[#This Row],[Note CC]]+Note[[#This Row],[Note SN]])/2</f>
        <v>0</v>
      </c>
    </row>
    <row r="326" spans="6:6" x14ac:dyDescent="0.25">
      <c r="F326">
        <f>(Note[[#This Row],[Note CC]]+Note[[#This Row],[Note SN]])/2</f>
        <v>0</v>
      </c>
    </row>
    <row r="327" spans="6:6" x14ac:dyDescent="0.25">
      <c r="F327">
        <f>(Note[[#This Row],[Note CC]]+Note[[#This Row],[Note SN]])/2</f>
        <v>0</v>
      </c>
    </row>
    <row r="328" spans="6:6" x14ac:dyDescent="0.25">
      <c r="F328">
        <f>(Note[[#This Row],[Note CC]]+Note[[#This Row],[Note SN]])/2</f>
        <v>0</v>
      </c>
    </row>
    <row r="329" spans="6:6" x14ac:dyDescent="0.25">
      <c r="F329">
        <f>(Note[[#This Row],[Note CC]]+Note[[#This Row],[Note SN]])/2</f>
        <v>0</v>
      </c>
    </row>
    <row r="330" spans="6:6" x14ac:dyDescent="0.25">
      <c r="F330">
        <f>(Note[[#This Row],[Note CC]]+Note[[#This Row],[Note SN]])/2</f>
        <v>0</v>
      </c>
    </row>
    <row r="331" spans="6:6" x14ac:dyDescent="0.25">
      <c r="F331">
        <f>(Note[[#This Row],[Note CC]]+Note[[#This Row],[Note SN]])/2</f>
        <v>0</v>
      </c>
    </row>
    <row r="332" spans="6:6" x14ac:dyDescent="0.25">
      <c r="F332">
        <f>(Note[[#This Row],[Note CC]]+Note[[#This Row],[Note SN]])/2</f>
        <v>0</v>
      </c>
    </row>
    <row r="333" spans="6:6" x14ac:dyDescent="0.25">
      <c r="F333">
        <f>(Note[[#This Row],[Note CC]]+Note[[#This Row],[Note SN]])/2</f>
        <v>0</v>
      </c>
    </row>
    <row r="334" spans="6:6" x14ac:dyDescent="0.25">
      <c r="F334">
        <f>(Note[[#This Row],[Note CC]]+Note[[#This Row],[Note SN]])/2</f>
        <v>0</v>
      </c>
    </row>
    <row r="335" spans="6:6" x14ac:dyDescent="0.25">
      <c r="F335">
        <f>(Note[[#This Row],[Note CC]]+Note[[#This Row],[Note SN]])/2</f>
        <v>0</v>
      </c>
    </row>
    <row r="336" spans="6:6" x14ac:dyDescent="0.25">
      <c r="F336">
        <f>(Note[[#This Row],[Note CC]]+Note[[#This Row],[Note SN]])/2</f>
        <v>0</v>
      </c>
    </row>
    <row r="337" spans="6:6" x14ac:dyDescent="0.25">
      <c r="F337">
        <f>(Note[[#This Row],[Note CC]]+Note[[#This Row],[Note SN]])/2</f>
        <v>0</v>
      </c>
    </row>
    <row r="338" spans="6:6" x14ac:dyDescent="0.25">
      <c r="F338">
        <f>(Note[[#This Row],[Note CC]]+Note[[#This Row],[Note SN]])/2</f>
        <v>0</v>
      </c>
    </row>
    <row r="339" spans="6:6" x14ac:dyDescent="0.25">
      <c r="F339">
        <f>(Note[[#This Row],[Note CC]]+Note[[#This Row],[Note SN]])/2</f>
        <v>0</v>
      </c>
    </row>
    <row r="340" spans="6:6" x14ac:dyDescent="0.25">
      <c r="F340">
        <f>(Note[[#This Row],[Note CC]]+Note[[#This Row],[Note SN]])/2</f>
        <v>0</v>
      </c>
    </row>
    <row r="341" spans="6:6" x14ac:dyDescent="0.25">
      <c r="F341">
        <f>(Note[[#This Row],[Note CC]]+Note[[#This Row],[Note SN]])/2</f>
        <v>0</v>
      </c>
    </row>
    <row r="342" spans="6:6" x14ac:dyDescent="0.25">
      <c r="F342">
        <f>(Note[[#This Row],[Note CC]]+Note[[#This Row],[Note SN]])/2</f>
        <v>0</v>
      </c>
    </row>
    <row r="343" spans="6:6" x14ac:dyDescent="0.25">
      <c r="F343">
        <f>(Note[[#This Row],[Note CC]]+Note[[#This Row],[Note SN]])/2</f>
        <v>0</v>
      </c>
    </row>
    <row r="344" spans="6:6" x14ac:dyDescent="0.25">
      <c r="F344">
        <f>(Note[[#This Row],[Note CC]]+Note[[#This Row],[Note SN]])/2</f>
        <v>0</v>
      </c>
    </row>
    <row r="345" spans="6:6" x14ac:dyDescent="0.25">
      <c r="F345">
        <f>(Note[[#This Row],[Note CC]]+Note[[#This Row],[Note SN]])/2</f>
        <v>0</v>
      </c>
    </row>
    <row r="346" spans="6:6" x14ac:dyDescent="0.25">
      <c r="F346">
        <f>(Note[[#This Row],[Note CC]]+Note[[#This Row],[Note SN]])/2</f>
        <v>0</v>
      </c>
    </row>
    <row r="347" spans="6:6" x14ac:dyDescent="0.25">
      <c r="F347">
        <f>(Note[[#This Row],[Note CC]]+Note[[#This Row],[Note SN]])/2</f>
        <v>0</v>
      </c>
    </row>
    <row r="348" spans="6:6" x14ac:dyDescent="0.25">
      <c r="F348">
        <f>(Note[[#This Row],[Note CC]]+Note[[#This Row],[Note SN]])/2</f>
        <v>0</v>
      </c>
    </row>
    <row r="349" spans="6:6" x14ac:dyDescent="0.25">
      <c r="F349">
        <f>(Note[[#This Row],[Note CC]]+Note[[#This Row],[Note SN]])/2</f>
        <v>0</v>
      </c>
    </row>
    <row r="350" spans="6:6" x14ac:dyDescent="0.25">
      <c r="F350">
        <f>(Note[[#This Row],[Note CC]]+Note[[#This Row],[Note SN]])/2</f>
        <v>0</v>
      </c>
    </row>
    <row r="351" spans="6:6" x14ac:dyDescent="0.25">
      <c r="F351">
        <f>(Note[[#This Row],[Note CC]]+Note[[#This Row],[Note SN]])/2</f>
        <v>0</v>
      </c>
    </row>
    <row r="352" spans="6:6" x14ac:dyDescent="0.25">
      <c r="F352">
        <f>(Note[[#This Row],[Note CC]]+Note[[#This Row],[Note SN]])/2</f>
        <v>0</v>
      </c>
    </row>
    <row r="353" spans="6:6" x14ac:dyDescent="0.25">
      <c r="F353">
        <f>(Note[[#This Row],[Note CC]]+Note[[#This Row],[Note SN]])/2</f>
        <v>0</v>
      </c>
    </row>
    <row r="354" spans="6:6" x14ac:dyDescent="0.25">
      <c r="F354">
        <f>(Note[[#This Row],[Note CC]]+Note[[#This Row],[Note SN]])/2</f>
        <v>0</v>
      </c>
    </row>
    <row r="355" spans="6:6" x14ac:dyDescent="0.25">
      <c r="F355">
        <f>(Note[[#This Row],[Note CC]]+Note[[#This Row],[Note SN]])/2</f>
        <v>0</v>
      </c>
    </row>
    <row r="356" spans="6:6" x14ac:dyDescent="0.25">
      <c r="F356">
        <f>(Note[[#This Row],[Note CC]]+Note[[#This Row],[Note SN]])/2</f>
        <v>0</v>
      </c>
    </row>
    <row r="357" spans="6:6" x14ac:dyDescent="0.25">
      <c r="F357">
        <f>(Note[[#This Row],[Note CC]]+Note[[#This Row],[Note SN]])/2</f>
        <v>0</v>
      </c>
    </row>
    <row r="358" spans="6:6" x14ac:dyDescent="0.25">
      <c r="F358">
        <f>(Note[[#This Row],[Note CC]]+Note[[#This Row],[Note SN]])/2</f>
        <v>0</v>
      </c>
    </row>
    <row r="359" spans="6:6" x14ac:dyDescent="0.25">
      <c r="F359">
        <f>(Note[[#This Row],[Note CC]]+Note[[#This Row],[Note SN]])/2</f>
        <v>0</v>
      </c>
    </row>
    <row r="360" spans="6:6" x14ac:dyDescent="0.25">
      <c r="F360">
        <f>(Note[[#This Row],[Note CC]]+Note[[#This Row],[Note SN]])/2</f>
        <v>0</v>
      </c>
    </row>
    <row r="361" spans="6:6" x14ac:dyDescent="0.25">
      <c r="F361">
        <f>(Note[[#This Row],[Note CC]]+Note[[#This Row],[Note SN]])/2</f>
        <v>0</v>
      </c>
    </row>
    <row r="362" spans="6:6" x14ac:dyDescent="0.25">
      <c r="F362">
        <f>(Note[[#This Row],[Note CC]]+Note[[#This Row],[Note SN]])/2</f>
        <v>0</v>
      </c>
    </row>
    <row r="363" spans="6:6" x14ac:dyDescent="0.25">
      <c r="F363">
        <f>(Note[[#This Row],[Note CC]]+Note[[#This Row],[Note SN]])/2</f>
        <v>0</v>
      </c>
    </row>
    <row r="364" spans="6:6" x14ac:dyDescent="0.25">
      <c r="F364">
        <f>(Note[[#This Row],[Note CC]]+Note[[#This Row],[Note SN]])/2</f>
        <v>0</v>
      </c>
    </row>
    <row r="365" spans="6:6" x14ac:dyDescent="0.25">
      <c r="F365">
        <f>(Note[[#This Row],[Note CC]]+Note[[#This Row],[Note SN]])/2</f>
        <v>0</v>
      </c>
    </row>
    <row r="366" spans="6:6" x14ac:dyDescent="0.25">
      <c r="F366">
        <f>(Note[[#This Row],[Note CC]]+Note[[#This Row],[Note SN]])/2</f>
        <v>0</v>
      </c>
    </row>
    <row r="367" spans="6:6" x14ac:dyDescent="0.25">
      <c r="F367">
        <f>(Note[[#This Row],[Note CC]]+Note[[#This Row],[Note SN]])/2</f>
        <v>0</v>
      </c>
    </row>
    <row r="368" spans="6:6" x14ac:dyDescent="0.25">
      <c r="F368">
        <f>(Note[[#This Row],[Note CC]]+Note[[#This Row],[Note SN]])/2</f>
        <v>0</v>
      </c>
    </row>
    <row r="369" spans="6:6" x14ac:dyDescent="0.25">
      <c r="F369">
        <f>(Note[[#This Row],[Note CC]]+Note[[#This Row],[Note SN]])/2</f>
        <v>0</v>
      </c>
    </row>
    <row r="370" spans="6:6" x14ac:dyDescent="0.25">
      <c r="F370">
        <f>(Note[[#This Row],[Note CC]]+Note[[#This Row],[Note SN]])/2</f>
        <v>0</v>
      </c>
    </row>
    <row r="371" spans="6:6" x14ac:dyDescent="0.25">
      <c r="F371">
        <f>(Note[[#This Row],[Note CC]]+Note[[#This Row],[Note SN]])/2</f>
        <v>0</v>
      </c>
    </row>
    <row r="372" spans="6:6" x14ac:dyDescent="0.25">
      <c r="F372">
        <f>(Note[[#This Row],[Note CC]]+Note[[#This Row],[Note SN]])/2</f>
        <v>0</v>
      </c>
    </row>
    <row r="373" spans="6:6" x14ac:dyDescent="0.25">
      <c r="F373">
        <f>(Note[[#This Row],[Note CC]]+Note[[#This Row],[Note SN]])/2</f>
        <v>0</v>
      </c>
    </row>
    <row r="374" spans="6:6" x14ac:dyDescent="0.25">
      <c r="F374">
        <f>(Note[[#This Row],[Note CC]]+Note[[#This Row],[Note SN]])/2</f>
        <v>0</v>
      </c>
    </row>
    <row r="375" spans="6:6" x14ac:dyDescent="0.25">
      <c r="F375">
        <f>(Note[[#This Row],[Note CC]]+Note[[#This Row],[Note SN]])/2</f>
        <v>0</v>
      </c>
    </row>
    <row r="376" spans="6:6" x14ac:dyDescent="0.25">
      <c r="F376">
        <f>(Note[[#This Row],[Note CC]]+Note[[#This Row],[Note SN]])/2</f>
        <v>0</v>
      </c>
    </row>
    <row r="377" spans="6:6" x14ac:dyDescent="0.25">
      <c r="F377">
        <f>(Note[[#This Row],[Note CC]]+Note[[#This Row],[Note SN]])/2</f>
        <v>0</v>
      </c>
    </row>
    <row r="378" spans="6:6" x14ac:dyDescent="0.25">
      <c r="F378">
        <f>(Note[[#This Row],[Note CC]]+Note[[#This Row],[Note SN]])/2</f>
        <v>0</v>
      </c>
    </row>
    <row r="379" spans="6:6" x14ac:dyDescent="0.25">
      <c r="F379">
        <f>(Note[[#This Row],[Note CC]]+Note[[#This Row],[Note SN]])/2</f>
        <v>0</v>
      </c>
    </row>
    <row r="380" spans="6:6" x14ac:dyDescent="0.25">
      <c r="F380">
        <f>(Note[[#This Row],[Note CC]]+Note[[#This Row],[Note SN]])/2</f>
        <v>0</v>
      </c>
    </row>
    <row r="381" spans="6:6" x14ac:dyDescent="0.25">
      <c r="F381">
        <f>(Note[[#This Row],[Note CC]]+Note[[#This Row],[Note SN]])/2</f>
        <v>0</v>
      </c>
    </row>
    <row r="382" spans="6:6" x14ac:dyDescent="0.25">
      <c r="F382">
        <f>(Note[[#This Row],[Note CC]]+Note[[#This Row],[Note SN]])/2</f>
        <v>0</v>
      </c>
    </row>
    <row r="383" spans="6:6" x14ac:dyDescent="0.25">
      <c r="F383">
        <f>(Note[[#This Row],[Note CC]]+Note[[#This Row],[Note SN]])/2</f>
        <v>0</v>
      </c>
    </row>
    <row r="384" spans="6:6" x14ac:dyDescent="0.25">
      <c r="F384">
        <f>(Note[[#This Row],[Note CC]]+Note[[#This Row],[Note SN]])/2</f>
        <v>0</v>
      </c>
    </row>
    <row r="385" spans="6:6" x14ac:dyDescent="0.25">
      <c r="F385">
        <f>(Note[[#This Row],[Note CC]]+Note[[#This Row],[Note SN]])/2</f>
        <v>0</v>
      </c>
    </row>
    <row r="386" spans="6:6" x14ac:dyDescent="0.25">
      <c r="F386">
        <f>(Note[[#This Row],[Note CC]]+Note[[#This Row],[Note SN]])/2</f>
        <v>0</v>
      </c>
    </row>
    <row r="387" spans="6:6" x14ac:dyDescent="0.25">
      <c r="F387">
        <f>(Note[[#This Row],[Note CC]]+Note[[#This Row],[Note SN]])/2</f>
        <v>0</v>
      </c>
    </row>
    <row r="388" spans="6:6" x14ac:dyDescent="0.25">
      <c r="F388">
        <f>(Note[[#This Row],[Note CC]]+Note[[#This Row],[Note SN]])/2</f>
        <v>0</v>
      </c>
    </row>
    <row r="389" spans="6:6" x14ac:dyDescent="0.25">
      <c r="F389">
        <f>(Note[[#This Row],[Note CC]]+Note[[#This Row],[Note SN]])/2</f>
        <v>0</v>
      </c>
    </row>
    <row r="390" spans="6:6" x14ac:dyDescent="0.25">
      <c r="F390">
        <f>(Note[[#This Row],[Note CC]]+Note[[#This Row],[Note SN]])/2</f>
        <v>0</v>
      </c>
    </row>
    <row r="391" spans="6:6" x14ac:dyDescent="0.25">
      <c r="F391">
        <f>(Note[[#This Row],[Note CC]]+Note[[#This Row],[Note SN]])/2</f>
        <v>0</v>
      </c>
    </row>
    <row r="392" spans="6:6" x14ac:dyDescent="0.25">
      <c r="F392">
        <f>(Note[[#This Row],[Note CC]]+Note[[#This Row],[Note SN]])/2</f>
        <v>0</v>
      </c>
    </row>
    <row r="393" spans="6:6" x14ac:dyDescent="0.25">
      <c r="F393">
        <f>(Note[[#This Row],[Note CC]]+Note[[#This Row],[Note SN]])/2</f>
        <v>0</v>
      </c>
    </row>
    <row r="394" spans="6:6" x14ac:dyDescent="0.25">
      <c r="F394">
        <f>(Note[[#This Row],[Note CC]]+Note[[#This Row],[Note SN]])/2</f>
        <v>0</v>
      </c>
    </row>
    <row r="395" spans="6:6" x14ac:dyDescent="0.25">
      <c r="F395">
        <f>(Note[[#This Row],[Note CC]]+Note[[#This Row],[Note SN]])/2</f>
        <v>0</v>
      </c>
    </row>
    <row r="396" spans="6:6" x14ac:dyDescent="0.25">
      <c r="F396">
        <f>(Note[[#This Row],[Note CC]]+Note[[#This Row],[Note SN]])/2</f>
        <v>0</v>
      </c>
    </row>
    <row r="397" spans="6:6" x14ac:dyDescent="0.25">
      <c r="F397">
        <f>(Note[[#This Row],[Note CC]]+Note[[#This Row],[Note SN]])/2</f>
        <v>0</v>
      </c>
    </row>
    <row r="398" spans="6:6" x14ac:dyDescent="0.25">
      <c r="F398">
        <f>(Note[[#This Row],[Note CC]]+Note[[#This Row],[Note SN]])/2</f>
        <v>0</v>
      </c>
    </row>
    <row r="399" spans="6:6" x14ac:dyDescent="0.25">
      <c r="F399">
        <f>(Note[[#This Row],[Note CC]]+Note[[#This Row],[Note SN]])/2</f>
        <v>0</v>
      </c>
    </row>
    <row r="400" spans="6:6" x14ac:dyDescent="0.25">
      <c r="F400">
        <f>(Note[[#This Row],[Note CC]]+Note[[#This Row],[Note SN]])/2</f>
        <v>0</v>
      </c>
    </row>
    <row r="401" spans="6:6" x14ac:dyDescent="0.25">
      <c r="F401">
        <f>(Note[[#This Row],[Note CC]]+Note[[#This Row],[Note SN]])/2</f>
        <v>0</v>
      </c>
    </row>
    <row r="402" spans="6:6" x14ac:dyDescent="0.25">
      <c r="F402">
        <f>(Note[[#This Row],[Note CC]]+Note[[#This Row],[Note SN]])/2</f>
        <v>0</v>
      </c>
    </row>
    <row r="403" spans="6:6" x14ac:dyDescent="0.25">
      <c r="F403">
        <f>(Note[[#This Row],[Note CC]]+Note[[#This Row],[Note SN]])/2</f>
        <v>0</v>
      </c>
    </row>
    <row r="404" spans="6:6" x14ac:dyDescent="0.25">
      <c r="F404">
        <f>(Note[[#This Row],[Note CC]]+Note[[#This Row],[Note SN]])/2</f>
        <v>0</v>
      </c>
    </row>
    <row r="405" spans="6:6" x14ac:dyDescent="0.25">
      <c r="F405">
        <f>(Note[[#This Row],[Note CC]]+Note[[#This Row],[Note SN]])/2</f>
        <v>0</v>
      </c>
    </row>
    <row r="406" spans="6:6" x14ac:dyDescent="0.25">
      <c r="F406">
        <f>(Note[[#This Row],[Note CC]]+Note[[#This Row],[Note SN]])/2</f>
        <v>0</v>
      </c>
    </row>
    <row r="407" spans="6:6" x14ac:dyDescent="0.25">
      <c r="F407">
        <f>(Note[[#This Row],[Note CC]]+Note[[#This Row],[Note SN]])/2</f>
        <v>0</v>
      </c>
    </row>
    <row r="408" spans="6:6" x14ac:dyDescent="0.25">
      <c r="F408">
        <f>(Note[[#This Row],[Note CC]]+Note[[#This Row],[Note SN]])/2</f>
        <v>0</v>
      </c>
    </row>
    <row r="409" spans="6:6" x14ac:dyDescent="0.25">
      <c r="F409">
        <f>(Note[[#This Row],[Note CC]]+Note[[#This Row],[Note SN]])/2</f>
        <v>0</v>
      </c>
    </row>
    <row r="410" spans="6:6" x14ac:dyDescent="0.25">
      <c r="F410">
        <f>(Note[[#This Row],[Note CC]]+Note[[#This Row],[Note SN]])/2</f>
        <v>0</v>
      </c>
    </row>
    <row r="411" spans="6:6" x14ac:dyDescent="0.25">
      <c r="F411">
        <f>(Note[[#This Row],[Note CC]]+Note[[#This Row],[Note SN]])/2</f>
        <v>0</v>
      </c>
    </row>
    <row r="412" spans="6:6" x14ac:dyDescent="0.25">
      <c r="F412">
        <f>(Note[[#This Row],[Note CC]]+Note[[#This Row],[Note SN]])/2</f>
        <v>0</v>
      </c>
    </row>
    <row r="413" spans="6:6" x14ac:dyDescent="0.25">
      <c r="F413">
        <f>(Note[[#This Row],[Note CC]]+Note[[#This Row],[Note SN]])/2</f>
        <v>0</v>
      </c>
    </row>
    <row r="414" spans="6:6" x14ac:dyDescent="0.25">
      <c r="F414">
        <f>(Note[[#This Row],[Note CC]]+Note[[#This Row],[Note SN]])/2</f>
        <v>0</v>
      </c>
    </row>
    <row r="415" spans="6:6" x14ac:dyDescent="0.25">
      <c r="F415">
        <f>(Note[[#This Row],[Note CC]]+Note[[#This Row],[Note SN]])/2</f>
        <v>0</v>
      </c>
    </row>
    <row r="416" spans="6:6" x14ac:dyDescent="0.25">
      <c r="F416">
        <f>(Note[[#This Row],[Note CC]]+Note[[#This Row],[Note SN]])/2</f>
        <v>0</v>
      </c>
    </row>
    <row r="417" spans="6:6" x14ac:dyDescent="0.25">
      <c r="F417">
        <f>(Note[[#This Row],[Note CC]]+Note[[#This Row],[Note SN]])/2</f>
        <v>0</v>
      </c>
    </row>
    <row r="418" spans="6:6" x14ac:dyDescent="0.25">
      <c r="F418">
        <f>(Note[[#This Row],[Note CC]]+Note[[#This Row],[Note SN]])/2</f>
        <v>0</v>
      </c>
    </row>
    <row r="419" spans="6:6" x14ac:dyDescent="0.25">
      <c r="F419">
        <f>(Note[[#This Row],[Note CC]]+Note[[#This Row],[Note SN]])/2</f>
        <v>0</v>
      </c>
    </row>
    <row r="420" spans="6:6" x14ac:dyDescent="0.25">
      <c r="F420">
        <f>(Note[[#This Row],[Note CC]]+Note[[#This Row],[Note SN]])/2</f>
        <v>0</v>
      </c>
    </row>
    <row r="421" spans="6:6" x14ac:dyDescent="0.25">
      <c r="F421">
        <f>(Note[[#This Row],[Note CC]]+Note[[#This Row],[Note SN]])/2</f>
        <v>0</v>
      </c>
    </row>
    <row r="422" spans="6:6" x14ac:dyDescent="0.25">
      <c r="F422">
        <f>(Note[[#This Row],[Note CC]]+Note[[#This Row],[Note SN]])/2</f>
        <v>0</v>
      </c>
    </row>
    <row r="423" spans="6:6" x14ac:dyDescent="0.25">
      <c r="F423">
        <f>(Note[[#This Row],[Note CC]]+Note[[#This Row],[Note SN]])/2</f>
        <v>0</v>
      </c>
    </row>
    <row r="424" spans="6:6" x14ac:dyDescent="0.25">
      <c r="F424">
        <f>(Note[[#This Row],[Note CC]]+Note[[#This Row],[Note SN]])/2</f>
        <v>0</v>
      </c>
    </row>
    <row r="425" spans="6:6" x14ac:dyDescent="0.25">
      <c r="F425">
        <f>(Note[[#This Row],[Note CC]]+Note[[#This Row],[Note SN]])/2</f>
        <v>0</v>
      </c>
    </row>
    <row r="426" spans="6:6" x14ac:dyDescent="0.25">
      <c r="F426">
        <f>(Note[[#This Row],[Note CC]]+Note[[#This Row],[Note SN]])/2</f>
        <v>0</v>
      </c>
    </row>
    <row r="427" spans="6:6" x14ac:dyDescent="0.25">
      <c r="F427">
        <f>(Note[[#This Row],[Note CC]]+Note[[#This Row],[Note SN]])/2</f>
        <v>0</v>
      </c>
    </row>
    <row r="428" spans="6:6" x14ac:dyDescent="0.25">
      <c r="F428">
        <f>(Note[[#This Row],[Note CC]]+Note[[#This Row],[Note SN]])/2</f>
        <v>0</v>
      </c>
    </row>
    <row r="429" spans="6:6" x14ac:dyDescent="0.25">
      <c r="F429">
        <f>(Note[[#This Row],[Note CC]]+Note[[#This Row],[Note SN]])/2</f>
        <v>0</v>
      </c>
    </row>
    <row r="430" spans="6:6" x14ac:dyDescent="0.25">
      <c r="F430">
        <f>(Note[[#This Row],[Note CC]]+Note[[#This Row],[Note SN]])/2</f>
        <v>0</v>
      </c>
    </row>
    <row r="431" spans="6:6" x14ac:dyDescent="0.25">
      <c r="F431">
        <f>(Note[[#This Row],[Note CC]]+Note[[#This Row],[Note SN]])/2</f>
        <v>0</v>
      </c>
    </row>
    <row r="432" spans="6:6" x14ac:dyDescent="0.25">
      <c r="F432">
        <f>(Note[[#This Row],[Note CC]]+Note[[#This Row],[Note SN]])/2</f>
        <v>0</v>
      </c>
    </row>
    <row r="433" spans="6:6" x14ac:dyDescent="0.25">
      <c r="F433">
        <f>(Note[[#This Row],[Note CC]]+Note[[#This Row],[Note SN]])/2</f>
        <v>0</v>
      </c>
    </row>
    <row r="434" spans="6:6" x14ac:dyDescent="0.25">
      <c r="F434">
        <f>(Note[[#This Row],[Note CC]]+Note[[#This Row],[Note SN]])/2</f>
        <v>0</v>
      </c>
    </row>
    <row r="435" spans="6:6" x14ac:dyDescent="0.25">
      <c r="F435">
        <f>(Note[[#This Row],[Note CC]]+Note[[#This Row],[Note SN]])/2</f>
        <v>0</v>
      </c>
    </row>
    <row r="436" spans="6:6" x14ac:dyDescent="0.25">
      <c r="F436">
        <f>(Note[[#This Row],[Note CC]]+Note[[#This Row],[Note SN]])/2</f>
        <v>0</v>
      </c>
    </row>
    <row r="437" spans="6:6" x14ac:dyDescent="0.25">
      <c r="F437">
        <f>(Note[[#This Row],[Note CC]]+Note[[#This Row],[Note SN]])/2</f>
        <v>0</v>
      </c>
    </row>
    <row r="438" spans="6:6" x14ac:dyDescent="0.25">
      <c r="F438">
        <f>(Note[[#This Row],[Note CC]]+Note[[#This Row],[Note SN]])/2</f>
        <v>0</v>
      </c>
    </row>
    <row r="439" spans="6:6" x14ac:dyDescent="0.25">
      <c r="F439">
        <f>(Note[[#This Row],[Note CC]]+Note[[#This Row],[Note SN]])/2</f>
        <v>0</v>
      </c>
    </row>
    <row r="440" spans="6:6" x14ac:dyDescent="0.25">
      <c r="F440">
        <f>(Note[[#This Row],[Note CC]]+Note[[#This Row],[Note SN]])/2</f>
        <v>0</v>
      </c>
    </row>
    <row r="441" spans="6:6" x14ac:dyDescent="0.25">
      <c r="F441">
        <f>(Note[[#This Row],[Note CC]]+Note[[#This Row],[Note SN]])/2</f>
        <v>0</v>
      </c>
    </row>
    <row r="442" spans="6:6" x14ac:dyDescent="0.25">
      <c r="F442">
        <f>(Note[[#This Row],[Note CC]]+Note[[#This Row],[Note SN]])/2</f>
        <v>0</v>
      </c>
    </row>
    <row r="443" spans="6:6" x14ac:dyDescent="0.25">
      <c r="F443">
        <f>(Note[[#This Row],[Note CC]]+Note[[#This Row],[Note SN]])/2</f>
        <v>0</v>
      </c>
    </row>
    <row r="444" spans="6:6" x14ac:dyDescent="0.25">
      <c r="F444">
        <f>(Note[[#This Row],[Note CC]]+Note[[#This Row],[Note SN]])/2</f>
        <v>0</v>
      </c>
    </row>
    <row r="445" spans="6:6" x14ac:dyDescent="0.25">
      <c r="F445">
        <f>(Note[[#This Row],[Note CC]]+Note[[#This Row],[Note SN]])/2</f>
        <v>0</v>
      </c>
    </row>
    <row r="446" spans="6:6" x14ac:dyDescent="0.25">
      <c r="F446">
        <f>(Note[[#This Row],[Note CC]]+Note[[#This Row],[Note SN]])/2</f>
        <v>0</v>
      </c>
    </row>
    <row r="447" spans="6:6" x14ac:dyDescent="0.25">
      <c r="F447">
        <f>(Note[[#This Row],[Note CC]]+Note[[#This Row],[Note SN]])/2</f>
        <v>0</v>
      </c>
    </row>
    <row r="448" spans="6:6" x14ac:dyDescent="0.25">
      <c r="F448">
        <f>(Note[[#This Row],[Note CC]]+Note[[#This Row],[Note SN]])/2</f>
        <v>0</v>
      </c>
    </row>
    <row r="449" spans="6:6" x14ac:dyDescent="0.25">
      <c r="F449">
        <f>(Note[[#This Row],[Note CC]]+Note[[#This Row],[Note SN]])/2</f>
        <v>0</v>
      </c>
    </row>
    <row r="450" spans="6:6" x14ac:dyDescent="0.25">
      <c r="F450">
        <f>(Note[[#This Row],[Note CC]]+Note[[#This Row],[Note SN]])/2</f>
        <v>0</v>
      </c>
    </row>
    <row r="451" spans="6:6" x14ac:dyDescent="0.25">
      <c r="F451">
        <f>(Note[[#This Row],[Note CC]]+Note[[#This Row],[Note SN]])/2</f>
        <v>0</v>
      </c>
    </row>
    <row r="452" spans="6:6" x14ac:dyDescent="0.25">
      <c r="F452">
        <f>(Note[[#This Row],[Note CC]]+Note[[#This Row],[Note SN]])/2</f>
        <v>0</v>
      </c>
    </row>
    <row r="453" spans="6:6" x14ac:dyDescent="0.25">
      <c r="F453">
        <f>(Note[[#This Row],[Note CC]]+Note[[#This Row],[Note SN]])/2</f>
        <v>0</v>
      </c>
    </row>
    <row r="454" spans="6:6" x14ac:dyDescent="0.25">
      <c r="F454">
        <f>(Note[[#This Row],[Note CC]]+Note[[#This Row],[Note SN]])/2</f>
        <v>0</v>
      </c>
    </row>
    <row r="455" spans="6:6" x14ac:dyDescent="0.25">
      <c r="F455">
        <f>(Note[[#This Row],[Note CC]]+Note[[#This Row],[Note SN]])/2</f>
        <v>0</v>
      </c>
    </row>
    <row r="456" spans="6:6" x14ac:dyDescent="0.25">
      <c r="F456">
        <f>(Note[[#This Row],[Note CC]]+Note[[#This Row],[Note SN]])/2</f>
        <v>0</v>
      </c>
    </row>
    <row r="457" spans="6:6" x14ac:dyDescent="0.25">
      <c r="F457">
        <f>(Note[[#This Row],[Note CC]]+Note[[#This Row],[Note SN]])/2</f>
        <v>0</v>
      </c>
    </row>
    <row r="458" spans="6:6" x14ac:dyDescent="0.25">
      <c r="F458">
        <f>(Note[[#This Row],[Note CC]]+Note[[#This Row],[Note SN]])/2</f>
        <v>0</v>
      </c>
    </row>
    <row r="459" spans="6:6" x14ac:dyDescent="0.25">
      <c r="F459">
        <f>(Note[[#This Row],[Note CC]]+Note[[#This Row],[Note SN]])/2</f>
        <v>0</v>
      </c>
    </row>
    <row r="460" spans="6:6" x14ac:dyDescent="0.25">
      <c r="F460">
        <f>(Note[[#This Row],[Note CC]]+Note[[#This Row],[Note SN]])/2</f>
        <v>0</v>
      </c>
    </row>
    <row r="461" spans="6:6" x14ac:dyDescent="0.25">
      <c r="F461">
        <f>(Note[[#This Row],[Note CC]]+Note[[#This Row],[Note SN]])/2</f>
        <v>0</v>
      </c>
    </row>
    <row r="462" spans="6:6" x14ac:dyDescent="0.25">
      <c r="F462">
        <f>(Note[[#This Row],[Note CC]]+Note[[#This Row],[Note SN]])/2</f>
        <v>0</v>
      </c>
    </row>
    <row r="463" spans="6:6" x14ac:dyDescent="0.25">
      <c r="F463">
        <f>(Note[[#This Row],[Note CC]]+Note[[#This Row],[Note SN]])/2</f>
        <v>0</v>
      </c>
    </row>
    <row r="464" spans="6:6" x14ac:dyDescent="0.25">
      <c r="F464">
        <f>(Note[[#This Row],[Note CC]]+Note[[#This Row],[Note SN]])/2</f>
        <v>0</v>
      </c>
    </row>
    <row r="465" spans="6:6" x14ac:dyDescent="0.25">
      <c r="F465">
        <f>(Note[[#This Row],[Note CC]]+Note[[#This Row],[Note SN]])/2</f>
        <v>0</v>
      </c>
    </row>
    <row r="466" spans="6:6" x14ac:dyDescent="0.25">
      <c r="F466">
        <f>(Note[[#This Row],[Note CC]]+Note[[#This Row],[Note SN]])/2</f>
        <v>0</v>
      </c>
    </row>
    <row r="467" spans="6:6" x14ac:dyDescent="0.25">
      <c r="F467">
        <f>(Note[[#This Row],[Note CC]]+Note[[#This Row],[Note SN]])/2</f>
        <v>0</v>
      </c>
    </row>
    <row r="468" spans="6:6" x14ac:dyDescent="0.25">
      <c r="F468">
        <f>(Note[[#This Row],[Note CC]]+Note[[#This Row],[Note SN]])/2</f>
        <v>0</v>
      </c>
    </row>
    <row r="469" spans="6:6" x14ac:dyDescent="0.25">
      <c r="F469">
        <f>(Note[[#This Row],[Note CC]]+Note[[#This Row],[Note SN]])/2</f>
        <v>0</v>
      </c>
    </row>
    <row r="470" spans="6:6" x14ac:dyDescent="0.25">
      <c r="F470">
        <f>(Note[[#This Row],[Note CC]]+Note[[#This Row],[Note SN]])/2</f>
        <v>0</v>
      </c>
    </row>
    <row r="471" spans="6:6" x14ac:dyDescent="0.25">
      <c r="F471">
        <f>(Note[[#This Row],[Note CC]]+Note[[#This Row],[Note SN]])/2</f>
        <v>0</v>
      </c>
    </row>
    <row r="472" spans="6:6" x14ac:dyDescent="0.25">
      <c r="F472">
        <f>(Note[[#This Row],[Note CC]]+Note[[#This Row],[Note SN]])/2</f>
        <v>0</v>
      </c>
    </row>
    <row r="473" spans="6:6" x14ac:dyDescent="0.25">
      <c r="F473">
        <f>(Note[[#This Row],[Note CC]]+Note[[#This Row],[Note SN]])/2</f>
        <v>0</v>
      </c>
    </row>
    <row r="474" spans="6:6" x14ac:dyDescent="0.25">
      <c r="F474">
        <f>(Note[[#This Row],[Note CC]]+Note[[#This Row],[Note SN]])/2</f>
        <v>0</v>
      </c>
    </row>
    <row r="475" spans="6:6" x14ac:dyDescent="0.25">
      <c r="F475">
        <f>(Note[[#This Row],[Note CC]]+Note[[#This Row],[Note SN]])/2</f>
        <v>0</v>
      </c>
    </row>
    <row r="476" spans="6:6" x14ac:dyDescent="0.25">
      <c r="F476">
        <f>(Note[[#This Row],[Note CC]]+Note[[#This Row],[Note SN]])/2</f>
        <v>0</v>
      </c>
    </row>
    <row r="477" spans="6:6" x14ac:dyDescent="0.25">
      <c r="F477">
        <f>(Note[[#This Row],[Note CC]]+Note[[#This Row],[Note SN]])/2</f>
        <v>0</v>
      </c>
    </row>
    <row r="478" spans="6:6" x14ac:dyDescent="0.25">
      <c r="F478">
        <f>(Note[[#This Row],[Note CC]]+Note[[#This Row],[Note SN]])/2</f>
        <v>0</v>
      </c>
    </row>
    <row r="479" spans="6:6" x14ac:dyDescent="0.25">
      <c r="F479">
        <f>(Note[[#This Row],[Note CC]]+Note[[#This Row],[Note SN]])/2</f>
        <v>0</v>
      </c>
    </row>
    <row r="480" spans="6:6" x14ac:dyDescent="0.25">
      <c r="F480">
        <f>(Note[[#This Row],[Note CC]]+Note[[#This Row],[Note SN]])/2</f>
        <v>0</v>
      </c>
    </row>
    <row r="481" spans="6:6" x14ac:dyDescent="0.25">
      <c r="F481">
        <f>(Note[[#This Row],[Note CC]]+Note[[#This Row],[Note SN]])/2</f>
        <v>0</v>
      </c>
    </row>
    <row r="482" spans="6:6" x14ac:dyDescent="0.25">
      <c r="F482">
        <f>(Note[[#This Row],[Note CC]]+Note[[#This Row],[Note SN]])/2</f>
        <v>0</v>
      </c>
    </row>
    <row r="483" spans="6:6" x14ac:dyDescent="0.25">
      <c r="F483">
        <f>(Note[[#This Row],[Note CC]]+Note[[#This Row],[Note SN]])/2</f>
        <v>0</v>
      </c>
    </row>
    <row r="484" spans="6:6" x14ac:dyDescent="0.25">
      <c r="F484">
        <f>(Note[[#This Row],[Note CC]]+Note[[#This Row],[Note SN]])/2</f>
        <v>0</v>
      </c>
    </row>
    <row r="485" spans="6:6" x14ac:dyDescent="0.25">
      <c r="F485">
        <f>(Note[[#This Row],[Note CC]]+Note[[#This Row],[Note SN]])/2</f>
        <v>0</v>
      </c>
    </row>
    <row r="486" spans="6:6" x14ac:dyDescent="0.25">
      <c r="F486">
        <f>(Note[[#This Row],[Note CC]]+Note[[#This Row],[Note SN]])/2</f>
        <v>0</v>
      </c>
    </row>
    <row r="487" spans="6:6" x14ac:dyDescent="0.25">
      <c r="F487">
        <f>(Note[[#This Row],[Note CC]]+Note[[#This Row],[Note SN]])/2</f>
        <v>0</v>
      </c>
    </row>
    <row r="488" spans="6:6" x14ac:dyDescent="0.25">
      <c r="F488">
        <f>(Note[[#This Row],[Note CC]]+Note[[#This Row],[Note SN]])/2</f>
        <v>0</v>
      </c>
    </row>
    <row r="489" spans="6:6" x14ac:dyDescent="0.25">
      <c r="F489">
        <f>(Note[[#This Row],[Note CC]]+Note[[#This Row],[Note SN]])/2</f>
        <v>0</v>
      </c>
    </row>
    <row r="490" spans="6:6" x14ac:dyDescent="0.25">
      <c r="F490">
        <f>(Note[[#This Row],[Note CC]]+Note[[#This Row],[Note SN]])/2</f>
        <v>0</v>
      </c>
    </row>
    <row r="491" spans="6:6" x14ac:dyDescent="0.25">
      <c r="F491">
        <f>(Note[[#This Row],[Note CC]]+Note[[#This Row],[Note SN]])/2</f>
        <v>0</v>
      </c>
    </row>
    <row r="492" spans="6:6" x14ac:dyDescent="0.25">
      <c r="F492">
        <f>(Note[[#This Row],[Note CC]]+Note[[#This Row],[Note SN]])/2</f>
        <v>0</v>
      </c>
    </row>
    <row r="493" spans="6:6" x14ac:dyDescent="0.25">
      <c r="F493">
        <f>(Note[[#This Row],[Note CC]]+Note[[#This Row],[Note SN]])/2</f>
        <v>0</v>
      </c>
    </row>
    <row r="494" spans="6:6" x14ac:dyDescent="0.25">
      <c r="F494">
        <f>(Note[[#This Row],[Note CC]]+Note[[#This Row],[Note SN]])/2</f>
        <v>0</v>
      </c>
    </row>
    <row r="495" spans="6:6" x14ac:dyDescent="0.25">
      <c r="F495">
        <f>(Note[[#This Row],[Note CC]]+Note[[#This Row],[Note SN]])/2</f>
        <v>0</v>
      </c>
    </row>
    <row r="496" spans="6:6" x14ac:dyDescent="0.25">
      <c r="F496">
        <f>(Note[[#This Row],[Note CC]]+Note[[#This Row],[Note SN]])/2</f>
        <v>0</v>
      </c>
    </row>
    <row r="497" spans="6:6" x14ac:dyDescent="0.25">
      <c r="F497">
        <f>(Note[[#This Row],[Note CC]]+Note[[#This Row],[Note SN]])/2</f>
        <v>0</v>
      </c>
    </row>
    <row r="498" spans="6:6" x14ac:dyDescent="0.25">
      <c r="F498">
        <f>(Note[[#This Row],[Note CC]]+Note[[#This Row],[Note SN]])/2</f>
        <v>0</v>
      </c>
    </row>
    <row r="499" spans="6:6" x14ac:dyDescent="0.25">
      <c r="F499">
        <f>(Note[[#This Row],[Note CC]]+Note[[#This Row],[Note SN]])/2</f>
        <v>0</v>
      </c>
    </row>
    <row r="500" spans="6:6" x14ac:dyDescent="0.25">
      <c r="F500">
        <f>(Note[[#This Row],[Note CC]]+Note[[#This Row],[Note SN]])/2</f>
        <v>0</v>
      </c>
    </row>
    <row r="501" spans="6:6" x14ac:dyDescent="0.25">
      <c r="F501">
        <f>(Note[[#This Row],[Note CC]]+Note[[#This Row],[Note SN]])/2</f>
        <v>0</v>
      </c>
    </row>
    <row r="502" spans="6:6" x14ac:dyDescent="0.25">
      <c r="F502">
        <f>(Note[[#This Row],[Note CC]]+Note[[#This Row],[Note SN]])/2</f>
        <v>0</v>
      </c>
    </row>
    <row r="503" spans="6:6" x14ac:dyDescent="0.25">
      <c r="F503">
        <f>(Note[[#This Row],[Note CC]]+Note[[#This Row],[Note SN]])/2</f>
        <v>0</v>
      </c>
    </row>
    <row r="504" spans="6:6" x14ac:dyDescent="0.25">
      <c r="F504">
        <f>(Note[[#This Row],[Note CC]]+Note[[#This Row],[Note SN]])/2</f>
        <v>0</v>
      </c>
    </row>
    <row r="505" spans="6:6" x14ac:dyDescent="0.25">
      <c r="F505">
        <f>(Note[[#This Row],[Note CC]]+Note[[#This Row],[Note SN]])/2</f>
        <v>0</v>
      </c>
    </row>
    <row r="506" spans="6:6" x14ac:dyDescent="0.25">
      <c r="F506">
        <f>(Note[[#This Row],[Note CC]]+Note[[#This Row],[Note SN]])/2</f>
        <v>0</v>
      </c>
    </row>
    <row r="507" spans="6:6" x14ac:dyDescent="0.25">
      <c r="F507">
        <f>(Note[[#This Row],[Note CC]]+Note[[#This Row],[Note SN]])/2</f>
        <v>0</v>
      </c>
    </row>
    <row r="508" spans="6:6" x14ac:dyDescent="0.25">
      <c r="F508">
        <f>(Note[[#This Row],[Note CC]]+Note[[#This Row],[Note SN]])/2</f>
        <v>0</v>
      </c>
    </row>
    <row r="509" spans="6:6" x14ac:dyDescent="0.25">
      <c r="F509">
        <f>(Note[[#This Row],[Note CC]]+Note[[#This Row],[Note SN]])/2</f>
        <v>0</v>
      </c>
    </row>
    <row r="510" spans="6:6" x14ac:dyDescent="0.25">
      <c r="F510">
        <f>(Note[[#This Row],[Note CC]]+Note[[#This Row],[Note SN]])/2</f>
        <v>0</v>
      </c>
    </row>
    <row r="511" spans="6:6" x14ac:dyDescent="0.25">
      <c r="F511">
        <f>(Note[[#This Row],[Note CC]]+Note[[#This Row],[Note SN]])/2</f>
        <v>0</v>
      </c>
    </row>
    <row r="512" spans="6:6" x14ac:dyDescent="0.25">
      <c r="F512">
        <f>(Note[[#This Row],[Note CC]]+Note[[#This Row],[Note SN]])/2</f>
        <v>0</v>
      </c>
    </row>
    <row r="513" spans="6:6" x14ac:dyDescent="0.25">
      <c r="F513">
        <f>(Note[[#This Row],[Note CC]]+Note[[#This Row],[Note SN]])/2</f>
        <v>0</v>
      </c>
    </row>
    <row r="514" spans="6:6" x14ac:dyDescent="0.25">
      <c r="F514">
        <f>(Note[[#This Row],[Note CC]]+Note[[#This Row],[Note SN]])/2</f>
        <v>0</v>
      </c>
    </row>
    <row r="515" spans="6:6" x14ac:dyDescent="0.25">
      <c r="F515">
        <f>(Note[[#This Row],[Note CC]]+Note[[#This Row],[Note SN]])/2</f>
        <v>0</v>
      </c>
    </row>
    <row r="516" spans="6:6" x14ac:dyDescent="0.25">
      <c r="F516">
        <f>(Note[[#This Row],[Note CC]]+Note[[#This Row],[Note SN]])/2</f>
        <v>0</v>
      </c>
    </row>
    <row r="517" spans="6:6" x14ac:dyDescent="0.25">
      <c r="F517">
        <f>(Note[[#This Row],[Note CC]]+Note[[#This Row],[Note SN]])/2</f>
        <v>0</v>
      </c>
    </row>
    <row r="518" spans="6:6" x14ac:dyDescent="0.25">
      <c r="F518">
        <f>(Note[[#This Row],[Note CC]]+Note[[#This Row],[Note SN]])/2</f>
        <v>0</v>
      </c>
    </row>
    <row r="519" spans="6:6" x14ac:dyDescent="0.25">
      <c r="F519">
        <f>(Note[[#This Row],[Note CC]]+Note[[#This Row],[Note SN]])/2</f>
        <v>0</v>
      </c>
    </row>
    <row r="520" spans="6:6" x14ac:dyDescent="0.25">
      <c r="F520">
        <f>(Note[[#This Row],[Note CC]]+Note[[#This Row],[Note SN]])/2</f>
        <v>0</v>
      </c>
    </row>
    <row r="521" spans="6:6" x14ac:dyDescent="0.25">
      <c r="F521">
        <f>(Note[[#This Row],[Note CC]]+Note[[#This Row],[Note SN]])/2</f>
        <v>0</v>
      </c>
    </row>
    <row r="522" spans="6:6" x14ac:dyDescent="0.25">
      <c r="F522">
        <f>(Note[[#This Row],[Note CC]]+Note[[#This Row],[Note SN]])/2</f>
        <v>0</v>
      </c>
    </row>
    <row r="523" spans="6:6" x14ac:dyDescent="0.25">
      <c r="F523">
        <f>(Note[[#This Row],[Note CC]]+Note[[#This Row],[Note SN]])/2</f>
        <v>0</v>
      </c>
    </row>
    <row r="524" spans="6:6" x14ac:dyDescent="0.25">
      <c r="F524">
        <f>(Note[[#This Row],[Note CC]]+Note[[#This Row],[Note SN]])/2</f>
        <v>0</v>
      </c>
    </row>
    <row r="525" spans="6:6" x14ac:dyDescent="0.25">
      <c r="F525">
        <f>(Note[[#This Row],[Note CC]]+Note[[#This Row],[Note SN]])/2</f>
        <v>0</v>
      </c>
    </row>
    <row r="526" spans="6:6" x14ac:dyDescent="0.25">
      <c r="F526">
        <f>(Note[[#This Row],[Note CC]]+Note[[#This Row],[Note SN]])/2</f>
        <v>0</v>
      </c>
    </row>
    <row r="527" spans="6:6" x14ac:dyDescent="0.25">
      <c r="F527">
        <f>(Note[[#This Row],[Note CC]]+Note[[#This Row],[Note SN]])/2</f>
        <v>0</v>
      </c>
    </row>
    <row r="528" spans="6:6" x14ac:dyDescent="0.25">
      <c r="F528">
        <f>(Note[[#This Row],[Note CC]]+Note[[#This Row],[Note SN]])/2</f>
        <v>0</v>
      </c>
    </row>
    <row r="529" spans="6:6" x14ac:dyDescent="0.25">
      <c r="F529">
        <f>(Note[[#This Row],[Note CC]]+Note[[#This Row],[Note SN]])/2</f>
        <v>0</v>
      </c>
    </row>
    <row r="530" spans="6:6" x14ac:dyDescent="0.25">
      <c r="F530">
        <f>(Note[[#This Row],[Note CC]]+Note[[#This Row],[Note SN]])/2</f>
        <v>0</v>
      </c>
    </row>
    <row r="531" spans="6:6" x14ac:dyDescent="0.25">
      <c r="F531">
        <f>(Note[[#This Row],[Note CC]]+Note[[#This Row],[Note SN]])/2</f>
        <v>0</v>
      </c>
    </row>
    <row r="532" spans="6:6" x14ac:dyDescent="0.25">
      <c r="F532">
        <f>(Note[[#This Row],[Note CC]]+Note[[#This Row],[Note SN]])/2</f>
        <v>0</v>
      </c>
    </row>
    <row r="533" spans="6:6" x14ac:dyDescent="0.25">
      <c r="F533">
        <f>(Note[[#This Row],[Note CC]]+Note[[#This Row],[Note SN]])/2</f>
        <v>0</v>
      </c>
    </row>
    <row r="534" spans="6:6" x14ac:dyDescent="0.25">
      <c r="F534">
        <f>(Note[[#This Row],[Note CC]]+Note[[#This Row],[Note SN]])/2</f>
        <v>0</v>
      </c>
    </row>
    <row r="535" spans="6:6" x14ac:dyDescent="0.25">
      <c r="F535">
        <f>(Note[[#This Row],[Note CC]]+Note[[#This Row],[Note SN]])/2</f>
        <v>0</v>
      </c>
    </row>
    <row r="536" spans="6:6" x14ac:dyDescent="0.25">
      <c r="F536">
        <f>(Note[[#This Row],[Note CC]]+Note[[#This Row],[Note SN]])/2</f>
        <v>0</v>
      </c>
    </row>
    <row r="537" spans="6:6" x14ac:dyDescent="0.25">
      <c r="F537">
        <f>(Note[[#This Row],[Note CC]]+Note[[#This Row],[Note SN]])/2</f>
        <v>0</v>
      </c>
    </row>
    <row r="538" spans="6:6" x14ac:dyDescent="0.25">
      <c r="F538">
        <f>(Note[[#This Row],[Note CC]]+Note[[#This Row],[Note SN]])/2</f>
        <v>0</v>
      </c>
    </row>
    <row r="539" spans="6:6" x14ac:dyDescent="0.25">
      <c r="F539">
        <f>(Note[[#This Row],[Note CC]]+Note[[#This Row],[Note SN]])/2</f>
        <v>0</v>
      </c>
    </row>
    <row r="540" spans="6:6" x14ac:dyDescent="0.25">
      <c r="F540">
        <f>(Note[[#This Row],[Note CC]]+Note[[#This Row],[Note SN]])/2</f>
        <v>0</v>
      </c>
    </row>
    <row r="541" spans="6:6" x14ac:dyDescent="0.25">
      <c r="F541">
        <f>(Note[[#This Row],[Note CC]]+Note[[#This Row],[Note SN]])/2</f>
        <v>0</v>
      </c>
    </row>
    <row r="542" spans="6:6" x14ac:dyDescent="0.25">
      <c r="F542">
        <f>(Note[[#This Row],[Note CC]]+Note[[#This Row],[Note SN]])/2</f>
        <v>0</v>
      </c>
    </row>
    <row r="543" spans="6:6" x14ac:dyDescent="0.25">
      <c r="F543">
        <f>(Note[[#This Row],[Note CC]]+Note[[#This Row],[Note SN]])/2</f>
        <v>0</v>
      </c>
    </row>
    <row r="544" spans="6:6" x14ac:dyDescent="0.25">
      <c r="F544">
        <f>(Note[[#This Row],[Note CC]]+Note[[#This Row],[Note SN]])/2</f>
        <v>0</v>
      </c>
    </row>
    <row r="545" spans="6:6" x14ac:dyDescent="0.25">
      <c r="F545">
        <f>(Note[[#This Row],[Note CC]]+Note[[#This Row],[Note SN]])/2</f>
        <v>0</v>
      </c>
    </row>
    <row r="546" spans="6:6" x14ac:dyDescent="0.25">
      <c r="F546">
        <f>(Note[[#This Row],[Note CC]]+Note[[#This Row],[Note SN]])/2</f>
        <v>0</v>
      </c>
    </row>
    <row r="547" spans="6:6" x14ac:dyDescent="0.25">
      <c r="F547">
        <f>(Note[[#This Row],[Note CC]]+Note[[#This Row],[Note SN]])/2</f>
        <v>0</v>
      </c>
    </row>
    <row r="548" spans="6:6" x14ac:dyDescent="0.25">
      <c r="F548">
        <f>(Note[[#This Row],[Note CC]]+Note[[#This Row],[Note SN]])/2</f>
        <v>0</v>
      </c>
    </row>
    <row r="549" spans="6:6" x14ac:dyDescent="0.25">
      <c r="F549">
        <f>(Note[[#This Row],[Note CC]]+Note[[#This Row],[Note SN]])/2</f>
        <v>0</v>
      </c>
    </row>
    <row r="550" spans="6:6" x14ac:dyDescent="0.25">
      <c r="F550">
        <f>(Note[[#This Row],[Note CC]]+Note[[#This Row],[Note SN]])/2</f>
        <v>0</v>
      </c>
    </row>
    <row r="551" spans="6:6" x14ac:dyDescent="0.25">
      <c r="F551">
        <f>(Note[[#This Row],[Note CC]]+Note[[#This Row],[Note SN]])/2</f>
        <v>0</v>
      </c>
    </row>
    <row r="552" spans="6:6" x14ac:dyDescent="0.25">
      <c r="F552">
        <f>(Note[[#This Row],[Note CC]]+Note[[#This Row],[Note SN]])/2</f>
        <v>0</v>
      </c>
    </row>
    <row r="553" spans="6:6" x14ac:dyDescent="0.25">
      <c r="F553">
        <f>(Note[[#This Row],[Note CC]]+Note[[#This Row],[Note SN]])/2</f>
        <v>0</v>
      </c>
    </row>
    <row r="554" spans="6:6" x14ac:dyDescent="0.25">
      <c r="F554">
        <f>(Note[[#This Row],[Note CC]]+Note[[#This Row],[Note SN]])/2</f>
        <v>0</v>
      </c>
    </row>
    <row r="555" spans="6:6" x14ac:dyDescent="0.25">
      <c r="F555">
        <f>(Note[[#This Row],[Note CC]]+Note[[#This Row],[Note SN]])/2</f>
        <v>0</v>
      </c>
    </row>
    <row r="556" spans="6:6" x14ac:dyDescent="0.25">
      <c r="F556">
        <f>(Note[[#This Row],[Note CC]]+Note[[#This Row],[Note SN]])/2</f>
        <v>0</v>
      </c>
    </row>
    <row r="557" spans="6:6" x14ac:dyDescent="0.25">
      <c r="F557">
        <f>(Note[[#This Row],[Note CC]]+Note[[#This Row],[Note SN]])/2</f>
        <v>0</v>
      </c>
    </row>
    <row r="558" spans="6:6" x14ac:dyDescent="0.25">
      <c r="F558">
        <f>(Note[[#This Row],[Note CC]]+Note[[#This Row],[Note SN]])/2</f>
        <v>0</v>
      </c>
    </row>
    <row r="559" spans="6:6" x14ac:dyDescent="0.25">
      <c r="F559">
        <f>(Note[[#This Row],[Note CC]]+Note[[#This Row],[Note SN]])/2</f>
        <v>0</v>
      </c>
    </row>
    <row r="560" spans="6:6" x14ac:dyDescent="0.25">
      <c r="F560">
        <f>(Note[[#This Row],[Note CC]]+Note[[#This Row],[Note SN]])/2</f>
        <v>0</v>
      </c>
    </row>
    <row r="561" spans="6:6" x14ac:dyDescent="0.25">
      <c r="F561">
        <f>(Note[[#This Row],[Note CC]]+Note[[#This Row],[Note SN]])/2</f>
        <v>0</v>
      </c>
    </row>
    <row r="562" spans="6:6" x14ac:dyDescent="0.25">
      <c r="F562">
        <f>(Note[[#This Row],[Note CC]]+Note[[#This Row],[Note SN]])/2</f>
        <v>0</v>
      </c>
    </row>
    <row r="563" spans="6:6" x14ac:dyDescent="0.25">
      <c r="F563">
        <f>(Note[[#This Row],[Note CC]]+Note[[#This Row],[Note SN]])/2</f>
        <v>0</v>
      </c>
    </row>
    <row r="564" spans="6:6" x14ac:dyDescent="0.25">
      <c r="F564">
        <f>(Note[[#This Row],[Note CC]]+Note[[#This Row],[Note SN]])/2</f>
        <v>0</v>
      </c>
    </row>
    <row r="565" spans="6:6" x14ac:dyDescent="0.25">
      <c r="F565">
        <f>(Note[[#This Row],[Note CC]]+Note[[#This Row],[Note SN]])/2</f>
        <v>0</v>
      </c>
    </row>
    <row r="566" spans="6:6" x14ac:dyDescent="0.25">
      <c r="F566">
        <f>(Note[[#This Row],[Note CC]]+Note[[#This Row],[Note SN]])/2</f>
        <v>0</v>
      </c>
    </row>
    <row r="567" spans="6:6" x14ac:dyDescent="0.25">
      <c r="F567">
        <f>(Note[[#This Row],[Note CC]]+Note[[#This Row],[Note SN]])/2</f>
        <v>0</v>
      </c>
    </row>
    <row r="568" spans="6:6" x14ac:dyDescent="0.25">
      <c r="F568">
        <f>(Note[[#This Row],[Note CC]]+Note[[#This Row],[Note SN]])/2</f>
        <v>0</v>
      </c>
    </row>
    <row r="569" spans="6:6" x14ac:dyDescent="0.25">
      <c r="F569">
        <f>(Note[[#This Row],[Note CC]]+Note[[#This Row],[Note SN]])/2</f>
        <v>0</v>
      </c>
    </row>
    <row r="570" spans="6:6" x14ac:dyDescent="0.25">
      <c r="F570">
        <f>(Note[[#This Row],[Note CC]]+Note[[#This Row],[Note SN]])/2</f>
        <v>0</v>
      </c>
    </row>
    <row r="571" spans="6:6" x14ac:dyDescent="0.25">
      <c r="F571">
        <f>(Note[[#This Row],[Note CC]]+Note[[#This Row],[Note SN]])/2</f>
        <v>0</v>
      </c>
    </row>
    <row r="572" spans="6:6" x14ac:dyDescent="0.25">
      <c r="F572">
        <f>(Note[[#This Row],[Note CC]]+Note[[#This Row],[Note SN]])/2</f>
        <v>0</v>
      </c>
    </row>
    <row r="573" spans="6:6" x14ac:dyDescent="0.25">
      <c r="F573">
        <f>(Note[[#This Row],[Note CC]]+Note[[#This Row],[Note SN]])/2</f>
        <v>0</v>
      </c>
    </row>
    <row r="574" spans="6:6" x14ac:dyDescent="0.25">
      <c r="F574">
        <f>(Note[[#This Row],[Note CC]]+Note[[#This Row],[Note SN]])/2</f>
        <v>0</v>
      </c>
    </row>
    <row r="575" spans="6:6" x14ac:dyDescent="0.25">
      <c r="F575">
        <f>(Note[[#This Row],[Note CC]]+Note[[#This Row],[Note SN]])/2</f>
        <v>0</v>
      </c>
    </row>
    <row r="576" spans="6:6" x14ac:dyDescent="0.25">
      <c r="F576">
        <f>(Note[[#This Row],[Note CC]]+Note[[#This Row],[Note SN]])/2</f>
        <v>0</v>
      </c>
    </row>
    <row r="577" spans="6:6" x14ac:dyDescent="0.25">
      <c r="F577">
        <f>(Note[[#This Row],[Note CC]]+Note[[#This Row],[Note SN]])/2</f>
        <v>0</v>
      </c>
    </row>
    <row r="578" spans="6:6" x14ac:dyDescent="0.25">
      <c r="F578">
        <f>(Note[[#This Row],[Note CC]]+Note[[#This Row],[Note SN]])/2</f>
        <v>0</v>
      </c>
    </row>
    <row r="579" spans="6:6" x14ac:dyDescent="0.25">
      <c r="F579">
        <f>(Note[[#This Row],[Note CC]]+Note[[#This Row],[Note SN]])/2</f>
        <v>0</v>
      </c>
    </row>
    <row r="580" spans="6:6" x14ac:dyDescent="0.25">
      <c r="F580">
        <f>(Note[[#This Row],[Note CC]]+Note[[#This Row],[Note SN]])/2</f>
        <v>0</v>
      </c>
    </row>
    <row r="581" spans="6:6" x14ac:dyDescent="0.25">
      <c r="F581">
        <f>(Note[[#This Row],[Note CC]]+Note[[#This Row],[Note SN]])/2</f>
        <v>0</v>
      </c>
    </row>
    <row r="582" spans="6:6" x14ac:dyDescent="0.25">
      <c r="F582">
        <f>(Note[[#This Row],[Note CC]]+Note[[#This Row],[Note SN]])/2</f>
        <v>0</v>
      </c>
    </row>
    <row r="583" spans="6:6" x14ac:dyDescent="0.25">
      <c r="F583">
        <f>(Note[[#This Row],[Note CC]]+Note[[#This Row],[Note SN]])/2</f>
        <v>0</v>
      </c>
    </row>
    <row r="584" spans="6:6" x14ac:dyDescent="0.25">
      <c r="F584">
        <f>(Note[[#This Row],[Note CC]]+Note[[#This Row],[Note SN]])/2</f>
        <v>0</v>
      </c>
    </row>
    <row r="585" spans="6:6" x14ac:dyDescent="0.25">
      <c r="F585">
        <f>(Note[[#This Row],[Note CC]]+Note[[#This Row],[Note SN]])/2</f>
        <v>0</v>
      </c>
    </row>
    <row r="586" spans="6:6" x14ac:dyDescent="0.25">
      <c r="F586">
        <f>(Note[[#This Row],[Note CC]]+Note[[#This Row],[Note SN]])/2</f>
        <v>0</v>
      </c>
    </row>
    <row r="587" spans="6:6" x14ac:dyDescent="0.25">
      <c r="F587">
        <f>(Note[[#This Row],[Note CC]]+Note[[#This Row],[Note SN]])/2</f>
        <v>0</v>
      </c>
    </row>
    <row r="588" spans="6:6" x14ac:dyDescent="0.25">
      <c r="F588">
        <f>(Note[[#This Row],[Note CC]]+Note[[#This Row],[Note SN]])/2</f>
        <v>0</v>
      </c>
    </row>
    <row r="589" spans="6:6" x14ac:dyDescent="0.25">
      <c r="F589">
        <f>(Note[[#This Row],[Note CC]]+Note[[#This Row],[Note SN]])/2</f>
        <v>0</v>
      </c>
    </row>
    <row r="590" spans="6:6" x14ac:dyDescent="0.25">
      <c r="F590">
        <f>(Note[[#This Row],[Note CC]]+Note[[#This Row],[Note SN]])/2</f>
        <v>0</v>
      </c>
    </row>
    <row r="591" spans="6:6" x14ac:dyDescent="0.25">
      <c r="F591">
        <f>(Note[[#This Row],[Note CC]]+Note[[#This Row],[Note SN]])/2</f>
        <v>0</v>
      </c>
    </row>
    <row r="592" spans="6:6" x14ac:dyDescent="0.25">
      <c r="F592">
        <f>(Note[[#This Row],[Note CC]]+Note[[#This Row],[Note SN]])/2</f>
        <v>0</v>
      </c>
    </row>
    <row r="593" spans="6:6" x14ac:dyDescent="0.25">
      <c r="F593">
        <f>(Note[[#This Row],[Note CC]]+Note[[#This Row],[Note SN]])/2</f>
        <v>0</v>
      </c>
    </row>
    <row r="594" spans="6:6" x14ac:dyDescent="0.25">
      <c r="F594">
        <f>(Note[[#This Row],[Note CC]]+Note[[#This Row],[Note SN]])/2</f>
        <v>0</v>
      </c>
    </row>
    <row r="595" spans="6:6" x14ac:dyDescent="0.25">
      <c r="F595">
        <f>(Note[[#This Row],[Note CC]]+Note[[#This Row],[Note SN]])/2</f>
        <v>0</v>
      </c>
    </row>
    <row r="596" spans="6:6" x14ac:dyDescent="0.25">
      <c r="F596">
        <f>(Note[[#This Row],[Note CC]]+Note[[#This Row],[Note SN]])/2</f>
        <v>0</v>
      </c>
    </row>
    <row r="597" spans="6:6" x14ac:dyDescent="0.25">
      <c r="F597">
        <f>(Note[[#This Row],[Note CC]]+Note[[#This Row],[Note SN]])/2</f>
        <v>0</v>
      </c>
    </row>
    <row r="598" spans="6:6" x14ac:dyDescent="0.25">
      <c r="F598">
        <f>(Note[[#This Row],[Note CC]]+Note[[#This Row],[Note SN]])/2</f>
        <v>0</v>
      </c>
    </row>
    <row r="599" spans="6:6" x14ac:dyDescent="0.25">
      <c r="F599">
        <f>(Note[[#This Row],[Note CC]]+Note[[#This Row],[Note SN]])/2</f>
        <v>0</v>
      </c>
    </row>
    <row r="600" spans="6:6" x14ac:dyDescent="0.25">
      <c r="F600">
        <f>(Note[[#This Row],[Note CC]]+Note[[#This Row],[Note SN]])/2</f>
        <v>0</v>
      </c>
    </row>
    <row r="601" spans="6:6" x14ac:dyDescent="0.25">
      <c r="F601">
        <f>(Note[[#This Row],[Note CC]]+Note[[#This Row],[Note SN]])/2</f>
        <v>0</v>
      </c>
    </row>
    <row r="602" spans="6:6" x14ac:dyDescent="0.25">
      <c r="F602">
        <f>(Note[[#This Row],[Note CC]]+Note[[#This Row],[Note SN]])/2</f>
        <v>0</v>
      </c>
    </row>
    <row r="603" spans="6:6" x14ac:dyDescent="0.25">
      <c r="F603">
        <f>(Note[[#This Row],[Note CC]]+Note[[#This Row],[Note SN]])/2</f>
        <v>0</v>
      </c>
    </row>
    <row r="604" spans="6:6" x14ac:dyDescent="0.25">
      <c r="F604">
        <f>(Note[[#This Row],[Note CC]]+Note[[#This Row],[Note SN]])/2</f>
        <v>0</v>
      </c>
    </row>
    <row r="605" spans="6:6" x14ac:dyDescent="0.25">
      <c r="F605">
        <f>(Note[[#This Row],[Note CC]]+Note[[#This Row],[Note SN]])/2</f>
        <v>0</v>
      </c>
    </row>
    <row r="606" spans="6:6" x14ac:dyDescent="0.25">
      <c r="F606">
        <f>(Note[[#This Row],[Note CC]]+Note[[#This Row],[Note SN]])/2</f>
        <v>0</v>
      </c>
    </row>
    <row r="607" spans="6:6" x14ac:dyDescent="0.25">
      <c r="F607">
        <f>(Note[[#This Row],[Note CC]]+Note[[#This Row],[Note SN]])/2</f>
        <v>0</v>
      </c>
    </row>
    <row r="608" spans="6:6" x14ac:dyDescent="0.25">
      <c r="F608">
        <f>(Note[[#This Row],[Note CC]]+Note[[#This Row],[Note SN]])/2</f>
        <v>0</v>
      </c>
    </row>
    <row r="609" spans="6:6" x14ac:dyDescent="0.25">
      <c r="F609">
        <f>(Note[[#This Row],[Note CC]]+Note[[#This Row],[Note SN]])/2</f>
        <v>0</v>
      </c>
    </row>
    <row r="610" spans="6:6" x14ac:dyDescent="0.25">
      <c r="F610">
        <f>(Note[[#This Row],[Note CC]]+Note[[#This Row],[Note SN]])/2</f>
        <v>0</v>
      </c>
    </row>
    <row r="611" spans="6:6" x14ac:dyDescent="0.25">
      <c r="F611">
        <f>(Note[[#This Row],[Note CC]]+Note[[#This Row],[Note SN]])/2</f>
        <v>0</v>
      </c>
    </row>
    <row r="612" spans="6:6" x14ac:dyDescent="0.25">
      <c r="F612">
        <f>(Note[[#This Row],[Note CC]]+Note[[#This Row],[Note SN]])/2</f>
        <v>0</v>
      </c>
    </row>
    <row r="613" spans="6:6" x14ac:dyDescent="0.25">
      <c r="F613">
        <f>(Note[[#This Row],[Note CC]]+Note[[#This Row],[Note SN]])/2</f>
        <v>0</v>
      </c>
    </row>
    <row r="614" spans="6:6" x14ac:dyDescent="0.25">
      <c r="F614">
        <f>(Note[[#This Row],[Note CC]]+Note[[#This Row],[Note SN]])/2</f>
        <v>0</v>
      </c>
    </row>
    <row r="615" spans="6:6" x14ac:dyDescent="0.25">
      <c r="F615">
        <f>(Note[[#This Row],[Note CC]]+Note[[#This Row],[Note SN]])/2</f>
        <v>0</v>
      </c>
    </row>
    <row r="616" spans="6:6" x14ac:dyDescent="0.25">
      <c r="F616">
        <f>(Note[[#This Row],[Note CC]]+Note[[#This Row],[Note SN]])/2</f>
        <v>0</v>
      </c>
    </row>
    <row r="617" spans="6:6" x14ac:dyDescent="0.25">
      <c r="F617">
        <f>(Note[[#This Row],[Note CC]]+Note[[#This Row],[Note SN]])/2</f>
        <v>0</v>
      </c>
    </row>
    <row r="618" spans="6:6" x14ac:dyDescent="0.25">
      <c r="F618">
        <f>(Note[[#This Row],[Note CC]]+Note[[#This Row],[Note SN]])/2</f>
        <v>0</v>
      </c>
    </row>
    <row r="619" spans="6:6" x14ac:dyDescent="0.25">
      <c r="F619">
        <f>(Note[[#This Row],[Note CC]]+Note[[#This Row],[Note SN]])/2</f>
        <v>0</v>
      </c>
    </row>
    <row r="620" spans="6:6" x14ac:dyDescent="0.25">
      <c r="F620">
        <f>(Note[[#This Row],[Note CC]]+Note[[#This Row],[Note SN]])/2</f>
        <v>0</v>
      </c>
    </row>
    <row r="621" spans="6:6" x14ac:dyDescent="0.25">
      <c r="F621">
        <f>(Note[[#This Row],[Note CC]]+Note[[#This Row],[Note SN]])/2</f>
        <v>0</v>
      </c>
    </row>
    <row r="622" spans="6:6" x14ac:dyDescent="0.25">
      <c r="F622">
        <f>(Note[[#This Row],[Note CC]]+Note[[#This Row],[Note SN]])/2</f>
        <v>0</v>
      </c>
    </row>
    <row r="623" spans="6:6" x14ac:dyDescent="0.25">
      <c r="F623">
        <f>(Note[[#This Row],[Note CC]]+Note[[#This Row],[Note SN]])/2</f>
        <v>0</v>
      </c>
    </row>
    <row r="624" spans="6:6" x14ac:dyDescent="0.25">
      <c r="F624">
        <f>(Note[[#This Row],[Note CC]]+Note[[#This Row],[Note SN]])/2</f>
        <v>0</v>
      </c>
    </row>
    <row r="625" spans="6:6" x14ac:dyDescent="0.25">
      <c r="F625">
        <f>(Note[[#This Row],[Note CC]]+Note[[#This Row],[Note SN]])/2</f>
        <v>0</v>
      </c>
    </row>
    <row r="626" spans="6:6" x14ac:dyDescent="0.25">
      <c r="F626">
        <f>(Note[[#This Row],[Note CC]]+Note[[#This Row],[Note SN]])/2</f>
        <v>0</v>
      </c>
    </row>
    <row r="627" spans="6:6" x14ac:dyDescent="0.25">
      <c r="F627">
        <f>(Note[[#This Row],[Note CC]]+Note[[#This Row],[Note SN]])/2</f>
        <v>0</v>
      </c>
    </row>
    <row r="628" spans="6:6" x14ac:dyDescent="0.25">
      <c r="F628">
        <f>(Note[[#This Row],[Note CC]]+Note[[#This Row],[Note SN]])/2</f>
        <v>0</v>
      </c>
    </row>
    <row r="629" spans="6:6" x14ac:dyDescent="0.25">
      <c r="F629">
        <f>(Note[[#This Row],[Note CC]]+Note[[#This Row],[Note SN]])/2</f>
        <v>0</v>
      </c>
    </row>
    <row r="630" spans="6:6" x14ac:dyDescent="0.25">
      <c r="F630">
        <f>(Note[[#This Row],[Note CC]]+Note[[#This Row],[Note SN]])/2</f>
        <v>0</v>
      </c>
    </row>
    <row r="631" spans="6:6" x14ac:dyDescent="0.25">
      <c r="F631">
        <f>(Note[[#This Row],[Note CC]]+Note[[#This Row],[Note SN]])/2</f>
        <v>0</v>
      </c>
    </row>
    <row r="632" spans="6:6" x14ac:dyDescent="0.25">
      <c r="F632">
        <f>(Note[[#This Row],[Note CC]]+Note[[#This Row],[Note SN]])/2</f>
        <v>0</v>
      </c>
    </row>
    <row r="633" spans="6:6" x14ac:dyDescent="0.25">
      <c r="F633">
        <f>(Note[[#This Row],[Note CC]]+Note[[#This Row],[Note SN]])/2</f>
        <v>0</v>
      </c>
    </row>
    <row r="634" spans="6:6" x14ac:dyDescent="0.25">
      <c r="F634">
        <f>(Note[[#This Row],[Note CC]]+Note[[#This Row],[Note SN]])/2</f>
        <v>0</v>
      </c>
    </row>
    <row r="635" spans="6:6" x14ac:dyDescent="0.25">
      <c r="F635">
        <f>(Note[[#This Row],[Note CC]]+Note[[#This Row],[Note SN]])/2</f>
        <v>0</v>
      </c>
    </row>
    <row r="636" spans="6:6" x14ac:dyDescent="0.25">
      <c r="F636">
        <f>(Note[[#This Row],[Note CC]]+Note[[#This Row],[Note SN]])/2</f>
        <v>0</v>
      </c>
    </row>
    <row r="637" spans="6:6" x14ac:dyDescent="0.25">
      <c r="F637">
        <f>(Note[[#This Row],[Note CC]]+Note[[#This Row],[Note SN]])/2</f>
        <v>0</v>
      </c>
    </row>
    <row r="638" spans="6:6" x14ac:dyDescent="0.25">
      <c r="F638">
        <f>(Note[[#This Row],[Note CC]]+Note[[#This Row],[Note SN]])/2</f>
        <v>0</v>
      </c>
    </row>
    <row r="639" spans="6:6" x14ac:dyDescent="0.25">
      <c r="F639">
        <f>(Note[[#This Row],[Note CC]]+Note[[#This Row],[Note SN]])/2</f>
        <v>0</v>
      </c>
    </row>
    <row r="640" spans="6:6" x14ac:dyDescent="0.25">
      <c r="F640">
        <f>(Note[[#This Row],[Note CC]]+Note[[#This Row],[Note SN]])/2</f>
        <v>0</v>
      </c>
    </row>
    <row r="641" spans="6:6" x14ac:dyDescent="0.25">
      <c r="F641">
        <f>(Note[[#This Row],[Note CC]]+Note[[#This Row],[Note SN]])/2</f>
        <v>0</v>
      </c>
    </row>
    <row r="642" spans="6:6" x14ac:dyDescent="0.25">
      <c r="F642">
        <f>(Note[[#This Row],[Note CC]]+Note[[#This Row],[Note SN]])/2</f>
        <v>0</v>
      </c>
    </row>
    <row r="643" spans="6:6" x14ac:dyDescent="0.25">
      <c r="F643">
        <f>(Note[[#This Row],[Note CC]]+Note[[#This Row],[Note SN]])/2</f>
        <v>0</v>
      </c>
    </row>
    <row r="644" spans="6:6" x14ac:dyDescent="0.25">
      <c r="F644">
        <f>(Note[[#This Row],[Note CC]]+Note[[#This Row],[Note SN]])/2</f>
        <v>0</v>
      </c>
    </row>
    <row r="645" spans="6:6" x14ac:dyDescent="0.25">
      <c r="F645">
        <f>(Note[[#This Row],[Note CC]]+Note[[#This Row],[Note SN]])/2</f>
        <v>0</v>
      </c>
    </row>
    <row r="646" spans="6:6" x14ac:dyDescent="0.25">
      <c r="F646">
        <f>(Note[[#This Row],[Note CC]]+Note[[#This Row],[Note SN]])/2</f>
        <v>0</v>
      </c>
    </row>
    <row r="647" spans="6:6" x14ac:dyDescent="0.25">
      <c r="F647">
        <f>(Note[[#This Row],[Note CC]]+Note[[#This Row],[Note SN]])/2</f>
        <v>0</v>
      </c>
    </row>
    <row r="648" spans="6:6" x14ac:dyDescent="0.25">
      <c r="F648">
        <f>(Note[[#This Row],[Note CC]]+Note[[#This Row],[Note SN]])/2</f>
        <v>0</v>
      </c>
    </row>
    <row r="649" spans="6:6" x14ac:dyDescent="0.25">
      <c r="F649">
        <f>(Note[[#This Row],[Note CC]]+Note[[#This Row],[Note SN]])/2</f>
        <v>0</v>
      </c>
    </row>
    <row r="650" spans="6:6" x14ac:dyDescent="0.25">
      <c r="F650">
        <f>(Note[[#This Row],[Note CC]]+Note[[#This Row],[Note SN]])/2</f>
        <v>0</v>
      </c>
    </row>
    <row r="651" spans="6:6" x14ac:dyDescent="0.25">
      <c r="F651">
        <f>(Note[[#This Row],[Note CC]]+Note[[#This Row],[Note SN]])/2</f>
        <v>0</v>
      </c>
    </row>
    <row r="652" spans="6:6" x14ac:dyDescent="0.25">
      <c r="F652">
        <f>(Note[[#This Row],[Note CC]]+Note[[#This Row],[Note SN]])/2</f>
        <v>0</v>
      </c>
    </row>
    <row r="653" spans="6:6" x14ac:dyDescent="0.25">
      <c r="F653">
        <f>(Note[[#This Row],[Note CC]]+Note[[#This Row],[Note SN]])/2</f>
        <v>0</v>
      </c>
    </row>
    <row r="654" spans="6:6" x14ac:dyDescent="0.25">
      <c r="F654">
        <f>(Note[[#This Row],[Note CC]]+Note[[#This Row],[Note SN]])/2</f>
        <v>0</v>
      </c>
    </row>
    <row r="655" spans="6:6" x14ac:dyDescent="0.25">
      <c r="F655">
        <f>(Note[[#This Row],[Note CC]]+Note[[#This Row],[Note SN]])/2</f>
        <v>0</v>
      </c>
    </row>
    <row r="656" spans="6:6" x14ac:dyDescent="0.25">
      <c r="F656">
        <f>(Note[[#This Row],[Note CC]]+Note[[#This Row],[Note SN]])/2</f>
        <v>0</v>
      </c>
    </row>
    <row r="657" spans="6:6" x14ac:dyDescent="0.25">
      <c r="F657">
        <f>(Note[[#This Row],[Note CC]]+Note[[#This Row],[Note SN]])/2</f>
        <v>0</v>
      </c>
    </row>
    <row r="658" spans="6:6" x14ac:dyDescent="0.25">
      <c r="F658">
        <f>(Note[[#This Row],[Note CC]]+Note[[#This Row],[Note SN]])/2</f>
        <v>0</v>
      </c>
    </row>
    <row r="659" spans="6:6" x14ac:dyDescent="0.25">
      <c r="F659">
        <f>(Note[[#This Row],[Note CC]]+Note[[#This Row],[Note SN]])/2</f>
        <v>0</v>
      </c>
    </row>
    <row r="660" spans="6:6" x14ac:dyDescent="0.25">
      <c r="F660">
        <f>(Note[[#This Row],[Note CC]]+Note[[#This Row],[Note SN]])/2</f>
        <v>0</v>
      </c>
    </row>
    <row r="661" spans="6:6" x14ac:dyDescent="0.25">
      <c r="F661">
        <f>(Note[[#This Row],[Note CC]]+Note[[#This Row],[Note SN]])/2</f>
        <v>0</v>
      </c>
    </row>
    <row r="662" spans="6:6" x14ac:dyDescent="0.25">
      <c r="F662">
        <f>(Note[[#This Row],[Note CC]]+Note[[#This Row],[Note SN]])/2</f>
        <v>0</v>
      </c>
    </row>
    <row r="663" spans="6:6" x14ac:dyDescent="0.25">
      <c r="F663">
        <f>(Note[[#This Row],[Note CC]]+Note[[#This Row],[Note SN]])/2</f>
        <v>0</v>
      </c>
    </row>
    <row r="664" spans="6:6" x14ac:dyDescent="0.25">
      <c r="F664">
        <f>(Note[[#This Row],[Note CC]]+Note[[#This Row],[Note SN]])/2</f>
        <v>0</v>
      </c>
    </row>
    <row r="665" spans="6:6" x14ac:dyDescent="0.25">
      <c r="F665">
        <f>(Note[[#This Row],[Note CC]]+Note[[#This Row],[Note SN]])/2</f>
        <v>0</v>
      </c>
    </row>
    <row r="666" spans="6:6" x14ac:dyDescent="0.25">
      <c r="F666">
        <f>(Note[[#This Row],[Note CC]]+Note[[#This Row],[Note SN]])/2</f>
        <v>0</v>
      </c>
    </row>
    <row r="667" spans="6:6" x14ac:dyDescent="0.25">
      <c r="F667">
        <f>(Note[[#This Row],[Note CC]]+Note[[#This Row],[Note SN]])/2</f>
        <v>0</v>
      </c>
    </row>
    <row r="668" spans="6:6" x14ac:dyDescent="0.25">
      <c r="F668">
        <f>(Note[[#This Row],[Note CC]]+Note[[#This Row],[Note SN]])/2</f>
        <v>0</v>
      </c>
    </row>
    <row r="669" spans="6:6" x14ac:dyDescent="0.25">
      <c r="F669">
        <f>(Note[[#This Row],[Note CC]]+Note[[#This Row],[Note SN]])/2</f>
        <v>0</v>
      </c>
    </row>
    <row r="670" spans="6:6" x14ac:dyDescent="0.25">
      <c r="F670">
        <f>(Note[[#This Row],[Note CC]]+Note[[#This Row],[Note SN]])/2</f>
        <v>0</v>
      </c>
    </row>
    <row r="671" spans="6:6" x14ac:dyDescent="0.25">
      <c r="F671">
        <f>(Note[[#This Row],[Note CC]]+Note[[#This Row],[Note SN]])/2</f>
        <v>0</v>
      </c>
    </row>
    <row r="672" spans="6:6" x14ac:dyDescent="0.25">
      <c r="F672">
        <f>(Note[[#This Row],[Note CC]]+Note[[#This Row],[Note SN]])/2</f>
        <v>0</v>
      </c>
    </row>
    <row r="673" spans="6:6" x14ac:dyDescent="0.25">
      <c r="F673">
        <f>(Note[[#This Row],[Note CC]]+Note[[#This Row],[Note SN]])/2</f>
        <v>0</v>
      </c>
    </row>
    <row r="674" spans="6:6" x14ac:dyDescent="0.25">
      <c r="F674">
        <f>(Note[[#This Row],[Note CC]]+Note[[#This Row],[Note SN]])/2</f>
        <v>0</v>
      </c>
    </row>
    <row r="675" spans="6:6" x14ac:dyDescent="0.25">
      <c r="F675">
        <f>(Note[[#This Row],[Note CC]]+Note[[#This Row],[Note SN]])/2</f>
        <v>0</v>
      </c>
    </row>
    <row r="676" spans="6:6" x14ac:dyDescent="0.25">
      <c r="F676">
        <f>(Note[[#This Row],[Note CC]]+Note[[#This Row],[Note SN]])/2</f>
        <v>0</v>
      </c>
    </row>
    <row r="677" spans="6:6" x14ac:dyDescent="0.25">
      <c r="F677">
        <f>(Note[[#This Row],[Note CC]]+Note[[#This Row],[Note SN]])/2</f>
        <v>0</v>
      </c>
    </row>
    <row r="678" spans="6:6" x14ac:dyDescent="0.25">
      <c r="F678">
        <f>(Note[[#This Row],[Note CC]]+Note[[#This Row],[Note SN]])/2</f>
        <v>0</v>
      </c>
    </row>
    <row r="679" spans="6:6" x14ac:dyDescent="0.25">
      <c r="F679">
        <f>(Note[[#This Row],[Note CC]]+Note[[#This Row],[Note SN]])/2</f>
        <v>0</v>
      </c>
    </row>
    <row r="680" spans="6:6" x14ac:dyDescent="0.25">
      <c r="F680">
        <f>(Note[[#This Row],[Note CC]]+Note[[#This Row],[Note SN]])/2</f>
        <v>0</v>
      </c>
    </row>
    <row r="681" spans="6:6" x14ac:dyDescent="0.25">
      <c r="F681">
        <f>(Note[[#This Row],[Note CC]]+Note[[#This Row],[Note SN]])/2</f>
        <v>0</v>
      </c>
    </row>
    <row r="682" spans="6:6" x14ac:dyDescent="0.25">
      <c r="F682">
        <f>(Note[[#This Row],[Note CC]]+Note[[#This Row],[Note SN]])/2</f>
        <v>0</v>
      </c>
    </row>
    <row r="683" spans="6:6" x14ac:dyDescent="0.25">
      <c r="F683">
        <f>(Note[[#This Row],[Note CC]]+Note[[#This Row],[Note SN]])/2</f>
        <v>0</v>
      </c>
    </row>
    <row r="684" spans="6:6" x14ac:dyDescent="0.25">
      <c r="F684">
        <f>(Note[[#This Row],[Note CC]]+Note[[#This Row],[Note SN]])/2</f>
        <v>0</v>
      </c>
    </row>
    <row r="685" spans="6:6" x14ac:dyDescent="0.25">
      <c r="F685">
        <f>(Note[[#This Row],[Note CC]]+Note[[#This Row],[Note SN]])/2</f>
        <v>0</v>
      </c>
    </row>
    <row r="686" spans="6:6" x14ac:dyDescent="0.25">
      <c r="F686">
        <f>(Note[[#This Row],[Note CC]]+Note[[#This Row],[Note SN]])/2</f>
        <v>0</v>
      </c>
    </row>
    <row r="687" spans="6:6" x14ac:dyDescent="0.25">
      <c r="F687">
        <f>(Note[[#This Row],[Note CC]]+Note[[#This Row],[Note SN]])/2</f>
        <v>0</v>
      </c>
    </row>
    <row r="688" spans="6:6" x14ac:dyDescent="0.25">
      <c r="F688">
        <f>(Note[[#This Row],[Note CC]]+Note[[#This Row],[Note SN]])/2</f>
        <v>0</v>
      </c>
    </row>
    <row r="689" spans="6:6" x14ac:dyDescent="0.25">
      <c r="F689">
        <f>(Note[[#This Row],[Note CC]]+Note[[#This Row],[Note SN]])/2</f>
        <v>0</v>
      </c>
    </row>
    <row r="690" spans="6:6" x14ac:dyDescent="0.25">
      <c r="F690">
        <f>(Note[[#This Row],[Note CC]]+Note[[#This Row],[Note SN]])/2</f>
        <v>0</v>
      </c>
    </row>
    <row r="691" spans="6:6" x14ac:dyDescent="0.25">
      <c r="F691">
        <f>(Note[[#This Row],[Note CC]]+Note[[#This Row],[Note SN]])/2</f>
        <v>0</v>
      </c>
    </row>
    <row r="692" spans="6:6" x14ac:dyDescent="0.25">
      <c r="F692">
        <f>(Note[[#This Row],[Note CC]]+Note[[#This Row],[Note SN]])/2</f>
        <v>0</v>
      </c>
    </row>
    <row r="693" spans="6:6" x14ac:dyDescent="0.25">
      <c r="F693">
        <f>(Note[[#This Row],[Note CC]]+Note[[#This Row],[Note SN]])/2</f>
        <v>0</v>
      </c>
    </row>
    <row r="694" spans="6:6" x14ac:dyDescent="0.25">
      <c r="F694">
        <f>(Note[[#This Row],[Note CC]]+Note[[#This Row],[Note SN]])/2</f>
        <v>0</v>
      </c>
    </row>
    <row r="695" spans="6:6" x14ac:dyDescent="0.25">
      <c r="F695">
        <f>(Note[[#This Row],[Note CC]]+Note[[#This Row],[Note SN]])/2</f>
        <v>0</v>
      </c>
    </row>
    <row r="696" spans="6:6" x14ac:dyDescent="0.25">
      <c r="F696">
        <f>(Note[[#This Row],[Note CC]]+Note[[#This Row],[Note SN]])/2</f>
        <v>0</v>
      </c>
    </row>
    <row r="697" spans="6:6" x14ac:dyDescent="0.25">
      <c r="F697">
        <f>(Note[[#This Row],[Note CC]]+Note[[#This Row],[Note SN]])/2</f>
        <v>0</v>
      </c>
    </row>
    <row r="698" spans="6:6" x14ac:dyDescent="0.25">
      <c r="F698">
        <f>(Note[[#This Row],[Note CC]]+Note[[#This Row],[Note SN]])/2</f>
        <v>0</v>
      </c>
    </row>
    <row r="699" spans="6:6" x14ac:dyDescent="0.25">
      <c r="F699">
        <f>(Note[[#This Row],[Note CC]]+Note[[#This Row],[Note SN]])/2</f>
        <v>0</v>
      </c>
    </row>
    <row r="700" spans="6:6" x14ac:dyDescent="0.25">
      <c r="F700">
        <f>(Note[[#This Row],[Note CC]]+Note[[#This Row],[Note SN]])/2</f>
        <v>0</v>
      </c>
    </row>
    <row r="701" spans="6:6" x14ac:dyDescent="0.25">
      <c r="F701">
        <f>(Note[[#This Row],[Note CC]]+Note[[#This Row],[Note SN]])/2</f>
        <v>0</v>
      </c>
    </row>
    <row r="702" spans="6:6" x14ac:dyDescent="0.25">
      <c r="F702">
        <f>(Note[[#This Row],[Note CC]]+Note[[#This Row],[Note SN]])/2</f>
        <v>0</v>
      </c>
    </row>
    <row r="703" spans="6:6" x14ac:dyDescent="0.25">
      <c r="F703">
        <f>(Note[[#This Row],[Note CC]]+Note[[#This Row],[Note SN]])/2</f>
        <v>0</v>
      </c>
    </row>
    <row r="704" spans="6:6" x14ac:dyDescent="0.25">
      <c r="F704">
        <f>(Note[[#This Row],[Note CC]]+Note[[#This Row],[Note SN]])/2</f>
        <v>0</v>
      </c>
    </row>
    <row r="705" spans="6:6" x14ac:dyDescent="0.25">
      <c r="F705">
        <f>(Note[[#This Row],[Note CC]]+Note[[#This Row],[Note SN]])/2</f>
        <v>0</v>
      </c>
    </row>
    <row r="706" spans="6:6" x14ac:dyDescent="0.25">
      <c r="F706">
        <f>(Note[[#This Row],[Note CC]]+Note[[#This Row],[Note SN]])/2</f>
        <v>0</v>
      </c>
    </row>
    <row r="707" spans="6:6" x14ac:dyDescent="0.25">
      <c r="F707">
        <f>(Note[[#This Row],[Note CC]]+Note[[#This Row],[Note SN]])/2</f>
        <v>0</v>
      </c>
    </row>
    <row r="708" spans="6:6" x14ac:dyDescent="0.25">
      <c r="F708">
        <f>(Note[[#This Row],[Note CC]]+Note[[#This Row],[Note SN]])/2</f>
        <v>0</v>
      </c>
    </row>
    <row r="709" spans="6:6" x14ac:dyDescent="0.25">
      <c r="F709">
        <f>(Note[[#This Row],[Note CC]]+Note[[#This Row],[Note SN]])/2</f>
        <v>0</v>
      </c>
    </row>
    <row r="710" spans="6:6" x14ac:dyDescent="0.25">
      <c r="F710">
        <f>(Note[[#This Row],[Note CC]]+Note[[#This Row],[Note SN]])/2</f>
        <v>0</v>
      </c>
    </row>
    <row r="711" spans="6:6" x14ac:dyDescent="0.25">
      <c r="F711">
        <f>(Note[[#This Row],[Note CC]]+Note[[#This Row],[Note SN]])/2</f>
        <v>0</v>
      </c>
    </row>
    <row r="712" spans="6:6" x14ac:dyDescent="0.25">
      <c r="F712">
        <f>(Note[[#This Row],[Note CC]]+Note[[#This Row],[Note SN]])/2</f>
        <v>0</v>
      </c>
    </row>
    <row r="713" spans="6:6" x14ac:dyDescent="0.25">
      <c r="F713">
        <f>(Note[[#This Row],[Note CC]]+Note[[#This Row],[Note SN]])/2</f>
        <v>0</v>
      </c>
    </row>
    <row r="714" spans="6:6" x14ac:dyDescent="0.25">
      <c r="F714">
        <f>(Note[[#This Row],[Note CC]]+Note[[#This Row],[Note SN]])/2</f>
        <v>0</v>
      </c>
    </row>
    <row r="715" spans="6:6" x14ac:dyDescent="0.25">
      <c r="F715">
        <f>(Note[[#This Row],[Note CC]]+Note[[#This Row],[Note SN]])/2</f>
        <v>0</v>
      </c>
    </row>
    <row r="716" spans="6:6" x14ac:dyDescent="0.25">
      <c r="F716">
        <f>(Note[[#This Row],[Note CC]]+Note[[#This Row],[Note SN]])/2</f>
        <v>0</v>
      </c>
    </row>
    <row r="717" spans="6:6" x14ac:dyDescent="0.25">
      <c r="F717">
        <f>(Note[[#This Row],[Note CC]]+Note[[#This Row],[Note SN]])/2</f>
        <v>0</v>
      </c>
    </row>
    <row r="718" spans="6:6" x14ac:dyDescent="0.25">
      <c r="F718">
        <f>(Note[[#This Row],[Note CC]]+Note[[#This Row],[Note SN]])/2</f>
        <v>0</v>
      </c>
    </row>
    <row r="719" spans="6:6" x14ac:dyDescent="0.25">
      <c r="F719">
        <f>(Note[[#This Row],[Note CC]]+Note[[#This Row],[Note SN]])/2</f>
        <v>0</v>
      </c>
    </row>
    <row r="720" spans="6:6" x14ac:dyDescent="0.25">
      <c r="F720">
        <f>(Note[[#This Row],[Note CC]]+Note[[#This Row],[Note SN]])/2</f>
        <v>0</v>
      </c>
    </row>
    <row r="721" spans="6:6" x14ac:dyDescent="0.25">
      <c r="F721">
        <f>(Note[[#This Row],[Note CC]]+Note[[#This Row],[Note SN]])/2</f>
        <v>0</v>
      </c>
    </row>
    <row r="722" spans="6:6" x14ac:dyDescent="0.25">
      <c r="F722">
        <f>(Note[[#This Row],[Note CC]]+Note[[#This Row],[Note SN]])/2</f>
        <v>0</v>
      </c>
    </row>
    <row r="723" spans="6:6" x14ac:dyDescent="0.25">
      <c r="F723">
        <f>(Note[[#This Row],[Note CC]]+Note[[#This Row],[Note SN]])/2</f>
        <v>0</v>
      </c>
    </row>
    <row r="724" spans="6:6" x14ac:dyDescent="0.25">
      <c r="F724">
        <f>(Note[[#This Row],[Note CC]]+Note[[#This Row],[Note SN]])/2</f>
        <v>0</v>
      </c>
    </row>
    <row r="725" spans="6:6" x14ac:dyDescent="0.25">
      <c r="F725">
        <f>(Note[[#This Row],[Note CC]]+Note[[#This Row],[Note SN]])/2</f>
        <v>0</v>
      </c>
    </row>
    <row r="726" spans="6:6" x14ac:dyDescent="0.25">
      <c r="F726">
        <f>(Note[[#This Row],[Note CC]]+Note[[#This Row],[Note SN]])/2</f>
        <v>0</v>
      </c>
    </row>
    <row r="727" spans="6:6" x14ac:dyDescent="0.25">
      <c r="F727">
        <f>(Note[[#This Row],[Note CC]]+Note[[#This Row],[Note SN]])/2</f>
        <v>0</v>
      </c>
    </row>
    <row r="728" spans="6:6" x14ac:dyDescent="0.25">
      <c r="F728">
        <f>(Note[[#This Row],[Note CC]]+Note[[#This Row],[Note SN]])/2</f>
        <v>0</v>
      </c>
    </row>
    <row r="729" spans="6:6" x14ac:dyDescent="0.25">
      <c r="F729">
        <f>(Note[[#This Row],[Note CC]]+Note[[#This Row],[Note SN]])/2</f>
        <v>0</v>
      </c>
    </row>
    <row r="730" spans="6:6" x14ac:dyDescent="0.25">
      <c r="F730">
        <f>(Note[[#This Row],[Note CC]]+Note[[#This Row],[Note SN]])/2</f>
        <v>0</v>
      </c>
    </row>
    <row r="731" spans="6:6" x14ac:dyDescent="0.25">
      <c r="F731">
        <f>(Note[[#This Row],[Note CC]]+Note[[#This Row],[Note SN]])/2</f>
        <v>0</v>
      </c>
    </row>
    <row r="732" spans="6:6" x14ac:dyDescent="0.25">
      <c r="F732">
        <f>(Note[[#This Row],[Note CC]]+Note[[#This Row],[Note SN]])/2</f>
        <v>0</v>
      </c>
    </row>
    <row r="733" spans="6:6" x14ac:dyDescent="0.25">
      <c r="F733">
        <f>(Note[[#This Row],[Note CC]]+Note[[#This Row],[Note SN]])/2</f>
        <v>0</v>
      </c>
    </row>
    <row r="734" spans="6:6" x14ac:dyDescent="0.25">
      <c r="F734">
        <f>(Note[[#This Row],[Note CC]]+Note[[#This Row],[Note SN]])/2</f>
        <v>0</v>
      </c>
    </row>
    <row r="735" spans="6:6" x14ac:dyDescent="0.25">
      <c r="F735">
        <f>(Note[[#This Row],[Note CC]]+Note[[#This Row],[Note SN]])/2</f>
        <v>0</v>
      </c>
    </row>
    <row r="736" spans="6:6" x14ac:dyDescent="0.25">
      <c r="F736">
        <f>(Note[[#This Row],[Note CC]]+Note[[#This Row],[Note SN]])/2</f>
        <v>0</v>
      </c>
    </row>
    <row r="737" spans="6:6" x14ac:dyDescent="0.25">
      <c r="F737">
        <f>(Note[[#This Row],[Note CC]]+Note[[#This Row],[Note SN]])/2</f>
        <v>0</v>
      </c>
    </row>
    <row r="738" spans="6:6" x14ac:dyDescent="0.25">
      <c r="F738">
        <f>(Note[[#This Row],[Note CC]]+Note[[#This Row],[Note SN]])/2</f>
        <v>0</v>
      </c>
    </row>
    <row r="739" spans="6:6" x14ac:dyDescent="0.25">
      <c r="F739">
        <f>(Note[[#This Row],[Note CC]]+Note[[#This Row],[Note SN]])/2</f>
        <v>0</v>
      </c>
    </row>
    <row r="740" spans="6:6" x14ac:dyDescent="0.25">
      <c r="F740">
        <f>(Note[[#This Row],[Note CC]]+Note[[#This Row],[Note SN]])/2</f>
        <v>0</v>
      </c>
    </row>
    <row r="741" spans="6:6" x14ac:dyDescent="0.25">
      <c r="F741">
        <f>(Note[[#This Row],[Note CC]]+Note[[#This Row],[Note SN]])/2</f>
        <v>0</v>
      </c>
    </row>
    <row r="742" spans="6:6" x14ac:dyDescent="0.25">
      <c r="F742">
        <f>(Note[[#This Row],[Note CC]]+Note[[#This Row],[Note SN]])/2</f>
        <v>0</v>
      </c>
    </row>
    <row r="743" spans="6:6" x14ac:dyDescent="0.25">
      <c r="F743">
        <f>(Note[[#This Row],[Note CC]]+Note[[#This Row],[Note SN]])/2</f>
        <v>0</v>
      </c>
    </row>
    <row r="744" spans="6:6" x14ac:dyDescent="0.25">
      <c r="F744">
        <f>(Note[[#This Row],[Note CC]]+Note[[#This Row],[Note SN]])/2</f>
        <v>0</v>
      </c>
    </row>
    <row r="745" spans="6:6" x14ac:dyDescent="0.25">
      <c r="F745">
        <f>(Note[[#This Row],[Note CC]]+Note[[#This Row],[Note SN]])/2</f>
        <v>0</v>
      </c>
    </row>
    <row r="746" spans="6:6" x14ac:dyDescent="0.25">
      <c r="F746">
        <f>(Note[[#This Row],[Note CC]]+Note[[#This Row],[Note SN]])/2</f>
        <v>0</v>
      </c>
    </row>
    <row r="747" spans="6:6" x14ac:dyDescent="0.25">
      <c r="F747">
        <f>(Note[[#This Row],[Note CC]]+Note[[#This Row],[Note SN]])/2</f>
        <v>0</v>
      </c>
    </row>
    <row r="748" spans="6:6" x14ac:dyDescent="0.25">
      <c r="F748">
        <f>(Note[[#This Row],[Note CC]]+Note[[#This Row],[Note SN]])/2</f>
        <v>0</v>
      </c>
    </row>
    <row r="749" spans="6:6" x14ac:dyDescent="0.25">
      <c r="F749">
        <f>(Note[[#This Row],[Note CC]]+Note[[#This Row],[Note SN]])/2</f>
        <v>0</v>
      </c>
    </row>
    <row r="750" spans="6:6" x14ac:dyDescent="0.25">
      <c r="F750">
        <f>(Note[[#This Row],[Note CC]]+Note[[#This Row],[Note SN]])/2</f>
        <v>0</v>
      </c>
    </row>
    <row r="751" spans="6:6" x14ac:dyDescent="0.25">
      <c r="F751">
        <f>(Note[[#This Row],[Note CC]]+Note[[#This Row],[Note SN]])/2</f>
        <v>0</v>
      </c>
    </row>
    <row r="752" spans="6:6" x14ac:dyDescent="0.25">
      <c r="F752">
        <f>(Note[[#This Row],[Note CC]]+Note[[#This Row],[Note SN]])/2</f>
        <v>0</v>
      </c>
    </row>
    <row r="753" spans="6:6" x14ac:dyDescent="0.25">
      <c r="F753">
        <f>(Note[[#This Row],[Note CC]]+Note[[#This Row],[Note SN]])/2</f>
        <v>0</v>
      </c>
    </row>
    <row r="754" spans="6:6" x14ac:dyDescent="0.25">
      <c r="F754">
        <f>(Note[[#This Row],[Note CC]]+Note[[#This Row],[Note SN]])/2</f>
        <v>0</v>
      </c>
    </row>
    <row r="755" spans="6:6" x14ac:dyDescent="0.25">
      <c r="F755">
        <f>(Note[[#This Row],[Note CC]]+Note[[#This Row],[Note SN]])/2</f>
        <v>0</v>
      </c>
    </row>
    <row r="756" spans="6:6" x14ac:dyDescent="0.25">
      <c r="F756">
        <f>(Note[[#This Row],[Note CC]]+Note[[#This Row],[Note SN]])/2</f>
        <v>0</v>
      </c>
    </row>
    <row r="757" spans="6:6" x14ac:dyDescent="0.25">
      <c r="F757">
        <f>(Note[[#This Row],[Note CC]]+Note[[#This Row],[Note SN]])/2</f>
        <v>0</v>
      </c>
    </row>
    <row r="758" spans="6:6" x14ac:dyDescent="0.25">
      <c r="F758">
        <f>(Note[[#This Row],[Note CC]]+Note[[#This Row],[Note SN]])/2</f>
        <v>0</v>
      </c>
    </row>
    <row r="759" spans="6:6" x14ac:dyDescent="0.25">
      <c r="F759">
        <f>(Note[[#This Row],[Note CC]]+Note[[#This Row],[Note SN]])/2</f>
        <v>0</v>
      </c>
    </row>
    <row r="760" spans="6:6" x14ac:dyDescent="0.25">
      <c r="F760">
        <f>(Note[[#This Row],[Note CC]]+Note[[#This Row],[Note SN]])/2</f>
        <v>0</v>
      </c>
    </row>
    <row r="761" spans="6:6" x14ac:dyDescent="0.25">
      <c r="F761">
        <f>(Note[[#This Row],[Note CC]]+Note[[#This Row],[Note SN]])/2</f>
        <v>0</v>
      </c>
    </row>
    <row r="762" spans="6:6" x14ac:dyDescent="0.25">
      <c r="F762">
        <f>(Note[[#This Row],[Note CC]]+Note[[#This Row],[Note SN]])/2</f>
        <v>0</v>
      </c>
    </row>
    <row r="763" spans="6:6" x14ac:dyDescent="0.25">
      <c r="F763">
        <f>(Note[[#This Row],[Note CC]]+Note[[#This Row],[Note SN]])/2</f>
        <v>0</v>
      </c>
    </row>
    <row r="764" spans="6:6" x14ac:dyDescent="0.25">
      <c r="F764">
        <f>(Note[[#This Row],[Note CC]]+Note[[#This Row],[Note SN]])/2</f>
        <v>0</v>
      </c>
    </row>
    <row r="765" spans="6:6" x14ac:dyDescent="0.25">
      <c r="F765">
        <f>(Note[[#This Row],[Note CC]]+Note[[#This Row],[Note SN]])/2</f>
        <v>0</v>
      </c>
    </row>
    <row r="766" spans="6:6" x14ac:dyDescent="0.25">
      <c r="F766">
        <f>(Note[[#This Row],[Note CC]]+Note[[#This Row],[Note SN]])/2</f>
        <v>0</v>
      </c>
    </row>
    <row r="767" spans="6:6" x14ac:dyDescent="0.25">
      <c r="F767">
        <f>(Note[[#This Row],[Note CC]]+Note[[#This Row],[Note SN]])/2</f>
        <v>0</v>
      </c>
    </row>
    <row r="768" spans="6:6" x14ac:dyDescent="0.25">
      <c r="F768">
        <f>(Note[[#This Row],[Note CC]]+Note[[#This Row],[Note SN]])/2</f>
        <v>0</v>
      </c>
    </row>
    <row r="769" spans="6:6" x14ac:dyDescent="0.25">
      <c r="F769">
        <f>(Note[[#This Row],[Note CC]]+Note[[#This Row],[Note SN]])/2</f>
        <v>0</v>
      </c>
    </row>
    <row r="770" spans="6:6" x14ac:dyDescent="0.25">
      <c r="F770">
        <f>(Note[[#This Row],[Note CC]]+Note[[#This Row],[Note SN]])/2</f>
        <v>0</v>
      </c>
    </row>
    <row r="771" spans="6:6" x14ac:dyDescent="0.25">
      <c r="F771">
        <f>(Note[[#This Row],[Note CC]]+Note[[#This Row],[Note SN]])/2</f>
        <v>0</v>
      </c>
    </row>
    <row r="772" spans="6:6" x14ac:dyDescent="0.25">
      <c r="F772">
        <f>(Note[[#This Row],[Note CC]]+Note[[#This Row],[Note SN]])/2</f>
        <v>0</v>
      </c>
    </row>
    <row r="773" spans="6:6" x14ac:dyDescent="0.25">
      <c r="F773">
        <f>(Note[[#This Row],[Note CC]]+Note[[#This Row],[Note SN]])/2</f>
        <v>0</v>
      </c>
    </row>
    <row r="774" spans="6:6" x14ac:dyDescent="0.25">
      <c r="F774">
        <f>(Note[[#This Row],[Note CC]]+Note[[#This Row],[Note SN]])/2</f>
        <v>0</v>
      </c>
    </row>
    <row r="775" spans="6:6" x14ac:dyDescent="0.25">
      <c r="F775">
        <f>(Note[[#This Row],[Note CC]]+Note[[#This Row],[Note SN]])/2</f>
        <v>0</v>
      </c>
    </row>
    <row r="776" spans="6:6" x14ac:dyDescent="0.25">
      <c r="F776">
        <f>(Note[[#This Row],[Note CC]]+Note[[#This Row],[Note SN]])/2</f>
        <v>0</v>
      </c>
    </row>
    <row r="777" spans="6:6" x14ac:dyDescent="0.25">
      <c r="F777">
        <f>(Note[[#This Row],[Note CC]]+Note[[#This Row],[Note SN]])/2</f>
        <v>0</v>
      </c>
    </row>
    <row r="778" spans="6:6" x14ac:dyDescent="0.25">
      <c r="F778">
        <f>(Note[[#This Row],[Note CC]]+Note[[#This Row],[Note SN]])/2</f>
        <v>0</v>
      </c>
    </row>
    <row r="779" spans="6:6" x14ac:dyDescent="0.25">
      <c r="F779">
        <f>(Note[[#This Row],[Note CC]]+Note[[#This Row],[Note SN]])/2</f>
        <v>0</v>
      </c>
    </row>
    <row r="780" spans="6:6" x14ac:dyDescent="0.25">
      <c r="F780">
        <f>(Note[[#This Row],[Note CC]]+Note[[#This Row],[Note SN]])/2</f>
        <v>0</v>
      </c>
    </row>
    <row r="781" spans="6:6" x14ac:dyDescent="0.25">
      <c r="F781">
        <f>(Note[[#This Row],[Note CC]]+Note[[#This Row],[Note SN]])/2</f>
        <v>0</v>
      </c>
    </row>
    <row r="782" spans="6:6" x14ac:dyDescent="0.25">
      <c r="F782">
        <f>(Note[[#This Row],[Note CC]]+Note[[#This Row],[Note SN]])/2</f>
        <v>0</v>
      </c>
    </row>
    <row r="783" spans="6:6" x14ac:dyDescent="0.25">
      <c r="F783">
        <f>(Note[[#This Row],[Note CC]]+Note[[#This Row],[Note SN]])/2</f>
        <v>0</v>
      </c>
    </row>
    <row r="784" spans="6:6" x14ac:dyDescent="0.25">
      <c r="F784">
        <f>(Note[[#This Row],[Note CC]]+Note[[#This Row],[Note SN]])/2</f>
        <v>0</v>
      </c>
    </row>
    <row r="785" spans="6:6" x14ac:dyDescent="0.25">
      <c r="F785">
        <f>(Note[[#This Row],[Note CC]]+Note[[#This Row],[Note SN]])/2</f>
        <v>0</v>
      </c>
    </row>
    <row r="786" spans="6:6" x14ac:dyDescent="0.25">
      <c r="F786">
        <f>(Note[[#This Row],[Note CC]]+Note[[#This Row],[Note SN]])/2</f>
        <v>0</v>
      </c>
    </row>
    <row r="787" spans="6:6" x14ac:dyDescent="0.25">
      <c r="F787">
        <f>(Note[[#This Row],[Note CC]]+Note[[#This Row],[Note SN]])/2</f>
        <v>0</v>
      </c>
    </row>
    <row r="788" spans="6:6" x14ac:dyDescent="0.25">
      <c r="F788">
        <f>(Note[[#This Row],[Note CC]]+Note[[#This Row],[Note SN]])/2</f>
        <v>0</v>
      </c>
    </row>
    <row r="789" spans="6:6" x14ac:dyDescent="0.25">
      <c r="F789">
        <f>(Note[[#This Row],[Note CC]]+Note[[#This Row],[Note SN]])/2</f>
        <v>0</v>
      </c>
    </row>
    <row r="790" spans="6:6" x14ac:dyDescent="0.25">
      <c r="F790">
        <f>(Note[[#This Row],[Note CC]]+Note[[#This Row],[Note SN]])/2</f>
        <v>0</v>
      </c>
    </row>
    <row r="791" spans="6:6" x14ac:dyDescent="0.25">
      <c r="F791">
        <f>(Note[[#This Row],[Note CC]]+Note[[#This Row],[Note SN]])/2</f>
        <v>0</v>
      </c>
    </row>
    <row r="792" spans="6:6" x14ac:dyDescent="0.25">
      <c r="F792">
        <f>(Note[[#This Row],[Note CC]]+Note[[#This Row],[Note SN]])/2</f>
        <v>0</v>
      </c>
    </row>
    <row r="793" spans="6:6" x14ac:dyDescent="0.25">
      <c r="F793">
        <f>(Note[[#This Row],[Note CC]]+Note[[#This Row],[Note SN]])/2</f>
        <v>0</v>
      </c>
    </row>
    <row r="794" spans="6:6" x14ac:dyDescent="0.25">
      <c r="F794">
        <f>(Note[[#This Row],[Note CC]]+Note[[#This Row],[Note SN]])/2</f>
        <v>0</v>
      </c>
    </row>
    <row r="795" spans="6:6" x14ac:dyDescent="0.25">
      <c r="F795">
        <f>(Note[[#This Row],[Note CC]]+Note[[#This Row],[Note SN]])/2</f>
        <v>0</v>
      </c>
    </row>
    <row r="796" spans="6:6" x14ac:dyDescent="0.25">
      <c r="F796">
        <f>(Note[[#This Row],[Note CC]]+Note[[#This Row],[Note SN]])/2</f>
        <v>0</v>
      </c>
    </row>
    <row r="797" spans="6:6" x14ac:dyDescent="0.25">
      <c r="F797">
        <f>(Note[[#This Row],[Note CC]]+Note[[#This Row],[Note SN]])/2</f>
        <v>0</v>
      </c>
    </row>
    <row r="798" spans="6:6" x14ac:dyDescent="0.25">
      <c r="F798">
        <f>(Note[[#This Row],[Note CC]]+Note[[#This Row],[Note SN]])/2</f>
        <v>0</v>
      </c>
    </row>
    <row r="799" spans="6:6" x14ac:dyDescent="0.25">
      <c r="F799">
        <f>(Note[[#This Row],[Note CC]]+Note[[#This Row],[Note SN]])/2</f>
        <v>0</v>
      </c>
    </row>
    <row r="800" spans="6:6" x14ac:dyDescent="0.25">
      <c r="F800">
        <f>(Note[[#This Row],[Note CC]]+Note[[#This Row],[Note SN]])/2</f>
        <v>0</v>
      </c>
    </row>
    <row r="801" spans="6:6" x14ac:dyDescent="0.25">
      <c r="F801">
        <f>(Note[[#This Row],[Note CC]]+Note[[#This Row],[Note SN]])/2</f>
        <v>0</v>
      </c>
    </row>
    <row r="802" spans="6:6" x14ac:dyDescent="0.25">
      <c r="F802">
        <f>(Note[[#This Row],[Note CC]]+Note[[#This Row],[Note SN]])/2</f>
        <v>0</v>
      </c>
    </row>
    <row r="803" spans="6:6" x14ac:dyDescent="0.25">
      <c r="F803">
        <f>(Note[[#This Row],[Note CC]]+Note[[#This Row],[Note SN]])/2</f>
        <v>0</v>
      </c>
    </row>
    <row r="804" spans="6:6" x14ac:dyDescent="0.25">
      <c r="F804">
        <f>(Note[[#This Row],[Note CC]]+Note[[#This Row],[Note SN]])/2</f>
        <v>0</v>
      </c>
    </row>
    <row r="805" spans="6:6" x14ac:dyDescent="0.25">
      <c r="F805">
        <f>(Note[[#This Row],[Note CC]]+Note[[#This Row],[Note SN]])/2</f>
        <v>0</v>
      </c>
    </row>
    <row r="806" spans="6:6" x14ac:dyDescent="0.25">
      <c r="F806">
        <f>(Note[[#This Row],[Note CC]]+Note[[#This Row],[Note SN]])/2</f>
        <v>0</v>
      </c>
    </row>
    <row r="807" spans="6:6" x14ac:dyDescent="0.25">
      <c r="F807">
        <f>(Note[[#This Row],[Note CC]]+Note[[#This Row],[Note SN]])/2</f>
        <v>0</v>
      </c>
    </row>
    <row r="808" spans="6:6" x14ac:dyDescent="0.25">
      <c r="F808">
        <f>(Note[[#This Row],[Note CC]]+Note[[#This Row],[Note SN]])/2</f>
        <v>0</v>
      </c>
    </row>
    <row r="809" spans="6:6" x14ac:dyDescent="0.25">
      <c r="F809">
        <f>(Note[[#This Row],[Note CC]]+Note[[#This Row],[Note SN]])/2</f>
        <v>0</v>
      </c>
    </row>
    <row r="810" spans="6:6" x14ac:dyDescent="0.25">
      <c r="F810">
        <f>(Note[[#This Row],[Note CC]]+Note[[#This Row],[Note SN]])/2</f>
        <v>0</v>
      </c>
    </row>
    <row r="811" spans="6:6" x14ac:dyDescent="0.25">
      <c r="F811">
        <f>(Note[[#This Row],[Note CC]]+Note[[#This Row],[Note SN]])/2</f>
        <v>0</v>
      </c>
    </row>
    <row r="812" spans="6:6" x14ac:dyDescent="0.25">
      <c r="F812">
        <f>(Note[[#This Row],[Note CC]]+Note[[#This Row],[Note SN]])/2</f>
        <v>0</v>
      </c>
    </row>
    <row r="813" spans="6:6" x14ac:dyDescent="0.25">
      <c r="F813">
        <f>(Note[[#This Row],[Note CC]]+Note[[#This Row],[Note SN]])/2</f>
        <v>0</v>
      </c>
    </row>
    <row r="814" spans="6:6" x14ac:dyDescent="0.25">
      <c r="F814">
        <f>(Note[[#This Row],[Note CC]]+Note[[#This Row],[Note SN]])/2</f>
        <v>0</v>
      </c>
    </row>
    <row r="815" spans="6:6" x14ac:dyDescent="0.25">
      <c r="F815">
        <f>(Note[[#This Row],[Note CC]]+Note[[#This Row],[Note SN]])/2</f>
        <v>0</v>
      </c>
    </row>
    <row r="816" spans="6:6" x14ac:dyDescent="0.25">
      <c r="F816">
        <f>(Note[[#This Row],[Note CC]]+Note[[#This Row],[Note SN]])/2</f>
        <v>0</v>
      </c>
    </row>
    <row r="817" spans="6:6" x14ac:dyDescent="0.25">
      <c r="F817">
        <f>(Note[[#This Row],[Note CC]]+Note[[#This Row],[Note SN]])/2</f>
        <v>0</v>
      </c>
    </row>
    <row r="818" spans="6:6" x14ac:dyDescent="0.25">
      <c r="F818">
        <f>(Note[[#This Row],[Note CC]]+Note[[#This Row],[Note SN]])/2</f>
        <v>0</v>
      </c>
    </row>
    <row r="819" spans="6:6" x14ac:dyDescent="0.25">
      <c r="F819">
        <f>(Note[[#This Row],[Note CC]]+Note[[#This Row],[Note SN]])/2</f>
        <v>0</v>
      </c>
    </row>
    <row r="820" spans="6:6" x14ac:dyDescent="0.25">
      <c r="F820">
        <f>(Note[[#This Row],[Note CC]]+Note[[#This Row],[Note SN]])/2</f>
        <v>0</v>
      </c>
    </row>
    <row r="821" spans="6:6" x14ac:dyDescent="0.25">
      <c r="F821">
        <f>(Note[[#This Row],[Note CC]]+Note[[#This Row],[Note SN]])/2</f>
        <v>0</v>
      </c>
    </row>
    <row r="822" spans="6:6" x14ac:dyDescent="0.25">
      <c r="F822">
        <f>(Note[[#This Row],[Note CC]]+Note[[#This Row],[Note SN]])/2</f>
        <v>0</v>
      </c>
    </row>
    <row r="823" spans="6:6" x14ac:dyDescent="0.25">
      <c r="F823">
        <f>(Note[[#This Row],[Note CC]]+Note[[#This Row],[Note SN]])/2</f>
        <v>0</v>
      </c>
    </row>
    <row r="824" spans="6:6" x14ac:dyDescent="0.25">
      <c r="F824">
        <f>(Note[[#This Row],[Note CC]]+Note[[#This Row],[Note SN]])/2</f>
        <v>0</v>
      </c>
    </row>
    <row r="825" spans="6:6" x14ac:dyDescent="0.25">
      <c r="F825">
        <f>(Note[[#This Row],[Note CC]]+Note[[#This Row],[Note SN]])/2</f>
        <v>0</v>
      </c>
    </row>
    <row r="826" spans="6:6" x14ac:dyDescent="0.25">
      <c r="F826">
        <f>(Note[[#This Row],[Note CC]]+Note[[#This Row],[Note SN]])/2</f>
        <v>0</v>
      </c>
    </row>
    <row r="827" spans="6:6" x14ac:dyDescent="0.25">
      <c r="F827">
        <f>(Note[[#This Row],[Note CC]]+Note[[#This Row],[Note SN]])/2</f>
        <v>0</v>
      </c>
    </row>
    <row r="828" spans="6:6" x14ac:dyDescent="0.25">
      <c r="F828">
        <f>(Note[[#This Row],[Note CC]]+Note[[#This Row],[Note SN]])/2</f>
        <v>0</v>
      </c>
    </row>
    <row r="829" spans="6:6" x14ac:dyDescent="0.25">
      <c r="F829">
        <f>(Note[[#This Row],[Note CC]]+Note[[#This Row],[Note SN]])/2</f>
        <v>0</v>
      </c>
    </row>
    <row r="830" spans="6:6" x14ac:dyDescent="0.25">
      <c r="F830">
        <f>(Note[[#This Row],[Note CC]]+Note[[#This Row],[Note SN]])/2</f>
        <v>0</v>
      </c>
    </row>
    <row r="831" spans="6:6" x14ac:dyDescent="0.25">
      <c r="F831">
        <f>(Note[[#This Row],[Note CC]]+Note[[#This Row],[Note SN]])/2</f>
        <v>0</v>
      </c>
    </row>
    <row r="832" spans="6:6" x14ac:dyDescent="0.25">
      <c r="F832">
        <f>(Note[[#This Row],[Note CC]]+Note[[#This Row],[Note SN]])/2</f>
        <v>0</v>
      </c>
    </row>
    <row r="833" spans="6:6" x14ac:dyDescent="0.25">
      <c r="F833">
        <f>(Note[[#This Row],[Note CC]]+Note[[#This Row],[Note SN]])/2</f>
        <v>0</v>
      </c>
    </row>
    <row r="834" spans="6:6" x14ac:dyDescent="0.25">
      <c r="F834">
        <f>(Note[[#This Row],[Note CC]]+Note[[#This Row],[Note SN]])/2</f>
        <v>0</v>
      </c>
    </row>
    <row r="835" spans="6:6" x14ac:dyDescent="0.25">
      <c r="F835">
        <f>(Note[[#This Row],[Note CC]]+Note[[#This Row],[Note SN]])/2</f>
        <v>0</v>
      </c>
    </row>
    <row r="836" spans="6:6" x14ac:dyDescent="0.25">
      <c r="F836">
        <f>(Note[[#This Row],[Note CC]]+Note[[#This Row],[Note SN]])/2</f>
        <v>0</v>
      </c>
    </row>
    <row r="837" spans="6:6" x14ac:dyDescent="0.25">
      <c r="F837">
        <f>(Note[[#This Row],[Note CC]]+Note[[#This Row],[Note SN]])/2</f>
        <v>0</v>
      </c>
    </row>
    <row r="838" spans="6:6" x14ac:dyDescent="0.25">
      <c r="F838">
        <f>(Note[[#This Row],[Note CC]]+Note[[#This Row],[Note SN]])/2</f>
        <v>0</v>
      </c>
    </row>
    <row r="839" spans="6:6" x14ac:dyDescent="0.25">
      <c r="F839">
        <f>(Note[[#This Row],[Note CC]]+Note[[#This Row],[Note SN]])/2</f>
        <v>0</v>
      </c>
    </row>
    <row r="840" spans="6:6" x14ac:dyDescent="0.25">
      <c r="F840">
        <f>(Note[[#This Row],[Note CC]]+Note[[#This Row],[Note SN]])/2</f>
        <v>0</v>
      </c>
    </row>
    <row r="841" spans="6:6" x14ac:dyDescent="0.25">
      <c r="F841">
        <f>(Note[[#This Row],[Note CC]]+Note[[#This Row],[Note SN]])/2</f>
        <v>0</v>
      </c>
    </row>
    <row r="842" spans="6:6" x14ac:dyDescent="0.25">
      <c r="F842">
        <f>(Note[[#This Row],[Note CC]]+Note[[#This Row],[Note SN]])/2</f>
        <v>0</v>
      </c>
    </row>
    <row r="843" spans="6:6" x14ac:dyDescent="0.25">
      <c r="F843">
        <f>(Note[[#This Row],[Note CC]]+Note[[#This Row],[Note SN]])/2</f>
        <v>0</v>
      </c>
    </row>
    <row r="844" spans="6:6" x14ac:dyDescent="0.25">
      <c r="F844">
        <f>(Note[[#This Row],[Note CC]]+Note[[#This Row],[Note SN]])/2</f>
        <v>0</v>
      </c>
    </row>
    <row r="845" spans="6:6" x14ac:dyDescent="0.25">
      <c r="F845">
        <f>(Note[[#This Row],[Note CC]]+Note[[#This Row],[Note SN]])/2</f>
        <v>0</v>
      </c>
    </row>
    <row r="846" spans="6:6" x14ac:dyDescent="0.25">
      <c r="F846">
        <f>(Note[[#This Row],[Note CC]]+Note[[#This Row],[Note SN]])/2</f>
        <v>0</v>
      </c>
    </row>
    <row r="847" spans="6:6" x14ac:dyDescent="0.25">
      <c r="F847">
        <f>(Note[[#This Row],[Note CC]]+Note[[#This Row],[Note SN]])/2</f>
        <v>0</v>
      </c>
    </row>
    <row r="848" spans="6:6" x14ac:dyDescent="0.25">
      <c r="F848">
        <f>(Note[[#This Row],[Note CC]]+Note[[#This Row],[Note SN]])/2</f>
        <v>0</v>
      </c>
    </row>
    <row r="849" spans="6:6" x14ac:dyDescent="0.25">
      <c r="F849">
        <f>(Note[[#This Row],[Note CC]]+Note[[#This Row],[Note SN]])/2</f>
        <v>0</v>
      </c>
    </row>
    <row r="850" spans="6:6" x14ac:dyDescent="0.25">
      <c r="F850">
        <f>(Note[[#This Row],[Note CC]]+Note[[#This Row],[Note SN]])/2</f>
        <v>0</v>
      </c>
    </row>
    <row r="851" spans="6:6" x14ac:dyDescent="0.25">
      <c r="F851">
        <f>(Note[[#This Row],[Note CC]]+Note[[#This Row],[Note SN]])/2</f>
        <v>0</v>
      </c>
    </row>
    <row r="852" spans="6:6" x14ac:dyDescent="0.25">
      <c r="F852">
        <f>(Note[[#This Row],[Note CC]]+Note[[#This Row],[Note SN]])/2</f>
        <v>0</v>
      </c>
    </row>
    <row r="853" spans="6:6" x14ac:dyDescent="0.25">
      <c r="F853">
        <f>(Note[[#This Row],[Note CC]]+Note[[#This Row],[Note SN]])/2</f>
        <v>0</v>
      </c>
    </row>
    <row r="854" spans="6:6" x14ac:dyDescent="0.25">
      <c r="F854">
        <f>(Note[[#This Row],[Note CC]]+Note[[#This Row],[Note SN]])/2</f>
        <v>0</v>
      </c>
    </row>
    <row r="855" spans="6:6" x14ac:dyDescent="0.25">
      <c r="F855">
        <f>(Note[[#This Row],[Note CC]]+Note[[#This Row],[Note SN]])/2</f>
        <v>0</v>
      </c>
    </row>
    <row r="856" spans="6:6" x14ac:dyDescent="0.25">
      <c r="F856">
        <f>(Note[[#This Row],[Note CC]]+Note[[#This Row],[Note SN]])/2</f>
        <v>0</v>
      </c>
    </row>
    <row r="857" spans="6:6" x14ac:dyDescent="0.25">
      <c r="F857">
        <f>(Note[[#This Row],[Note CC]]+Note[[#This Row],[Note SN]])/2</f>
        <v>0</v>
      </c>
    </row>
    <row r="858" spans="6:6" x14ac:dyDescent="0.25">
      <c r="F858">
        <f>(Note[[#This Row],[Note CC]]+Note[[#This Row],[Note SN]])/2</f>
        <v>0</v>
      </c>
    </row>
    <row r="859" spans="6:6" x14ac:dyDescent="0.25">
      <c r="F859">
        <f>(Note[[#This Row],[Note CC]]+Note[[#This Row],[Note SN]])/2</f>
        <v>0</v>
      </c>
    </row>
    <row r="860" spans="6:6" x14ac:dyDescent="0.25">
      <c r="F860">
        <f>(Note[[#This Row],[Note CC]]+Note[[#This Row],[Note SN]])/2</f>
        <v>0</v>
      </c>
    </row>
    <row r="861" spans="6:6" x14ac:dyDescent="0.25">
      <c r="F861">
        <f>(Note[[#This Row],[Note CC]]+Note[[#This Row],[Note SN]])/2</f>
        <v>0</v>
      </c>
    </row>
    <row r="862" spans="6:6" x14ac:dyDescent="0.25">
      <c r="F862">
        <f>(Note[[#This Row],[Note CC]]+Note[[#This Row],[Note SN]])/2</f>
        <v>0</v>
      </c>
    </row>
    <row r="863" spans="6:6" x14ac:dyDescent="0.25">
      <c r="F863">
        <f>(Note[[#This Row],[Note CC]]+Note[[#This Row],[Note SN]])/2</f>
        <v>0</v>
      </c>
    </row>
    <row r="864" spans="6:6" x14ac:dyDescent="0.25">
      <c r="F864">
        <f>(Note[[#This Row],[Note CC]]+Note[[#This Row],[Note SN]])/2</f>
        <v>0</v>
      </c>
    </row>
    <row r="865" spans="6:6" x14ac:dyDescent="0.25">
      <c r="F865">
        <f>(Note[[#This Row],[Note CC]]+Note[[#This Row],[Note SN]])/2</f>
        <v>0</v>
      </c>
    </row>
    <row r="866" spans="6:6" x14ac:dyDescent="0.25">
      <c r="F866">
        <f>(Note[[#This Row],[Note CC]]+Note[[#This Row],[Note SN]])/2</f>
        <v>0</v>
      </c>
    </row>
    <row r="867" spans="6:6" x14ac:dyDescent="0.25">
      <c r="F867">
        <f>(Note[[#This Row],[Note CC]]+Note[[#This Row],[Note SN]])/2</f>
        <v>0</v>
      </c>
    </row>
    <row r="868" spans="6:6" x14ac:dyDescent="0.25">
      <c r="F868">
        <f>(Note[[#This Row],[Note CC]]+Note[[#This Row],[Note SN]])/2</f>
        <v>0</v>
      </c>
    </row>
    <row r="869" spans="6:6" x14ac:dyDescent="0.25">
      <c r="F869">
        <f>(Note[[#This Row],[Note CC]]+Note[[#This Row],[Note SN]])/2</f>
        <v>0</v>
      </c>
    </row>
    <row r="870" spans="6:6" x14ac:dyDescent="0.25">
      <c r="F870">
        <f>(Note[[#This Row],[Note CC]]+Note[[#This Row],[Note SN]])/2</f>
        <v>0</v>
      </c>
    </row>
    <row r="871" spans="6:6" x14ac:dyDescent="0.25">
      <c r="F871">
        <f>(Note[[#This Row],[Note CC]]+Note[[#This Row],[Note SN]])/2</f>
        <v>0</v>
      </c>
    </row>
    <row r="872" spans="6:6" x14ac:dyDescent="0.25">
      <c r="F872">
        <f>(Note[[#This Row],[Note CC]]+Note[[#This Row],[Note SN]])/2</f>
        <v>0</v>
      </c>
    </row>
    <row r="873" spans="6:6" x14ac:dyDescent="0.25">
      <c r="F873">
        <f>(Note[[#This Row],[Note CC]]+Note[[#This Row],[Note SN]])/2</f>
        <v>0</v>
      </c>
    </row>
    <row r="874" spans="6:6" x14ac:dyDescent="0.25">
      <c r="F874">
        <f>(Note[[#This Row],[Note CC]]+Note[[#This Row],[Note SN]])/2</f>
        <v>0</v>
      </c>
    </row>
    <row r="875" spans="6:6" x14ac:dyDescent="0.25">
      <c r="F875">
        <f>(Note[[#This Row],[Note CC]]+Note[[#This Row],[Note SN]])/2</f>
        <v>0</v>
      </c>
    </row>
    <row r="876" spans="6:6" x14ac:dyDescent="0.25">
      <c r="F876">
        <f>(Note[[#This Row],[Note CC]]+Note[[#This Row],[Note SN]])/2</f>
        <v>0</v>
      </c>
    </row>
    <row r="877" spans="6:6" x14ac:dyDescent="0.25">
      <c r="F877">
        <f>(Note[[#This Row],[Note CC]]+Note[[#This Row],[Note SN]])/2</f>
        <v>0</v>
      </c>
    </row>
    <row r="878" spans="6:6" x14ac:dyDescent="0.25">
      <c r="F878">
        <f>(Note[[#This Row],[Note CC]]+Note[[#This Row],[Note SN]])/2</f>
        <v>0</v>
      </c>
    </row>
    <row r="879" spans="6:6" x14ac:dyDescent="0.25">
      <c r="F879">
        <f>(Note[[#This Row],[Note CC]]+Note[[#This Row],[Note SN]])/2</f>
        <v>0</v>
      </c>
    </row>
    <row r="880" spans="6:6" x14ac:dyDescent="0.25">
      <c r="F880">
        <f>(Note[[#This Row],[Note CC]]+Note[[#This Row],[Note SN]])/2</f>
        <v>0</v>
      </c>
    </row>
    <row r="881" spans="6:6" x14ac:dyDescent="0.25">
      <c r="F881">
        <f>(Note[[#This Row],[Note CC]]+Note[[#This Row],[Note SN]])/2</f>
        <v>0</v>
      </c>
    </row>
    <row r="882" spans="6:6" x14ac:dyDescent="0.25">
      <c r="F882">
        <f>(Note[[#This Row],[Note CC]]+Note[[#This Row],[Note SN]])/2</f>
        <v>0</v>
      </c>
    </row>
    <row r="883" spans="6:6" x14ac:dyDescent="0.25">
      <c r="F883">
        <f>(Note[[#This Row],[Note CC]]+Note[[#This Row],[Note SN]])/2</f>
        <v>0</v>
      </c>
    </row>
    <row r="884" spans="6:6" x14ac:dyDescent="0.25">
      <c r="F884">
        <f>(Note[[#This Row],[Note CC]]+Note[[#This Row],[Note SN]])/2</f>
        <v>0</v>
      </c>
    </row>
    <row r="885" spans="6:6" x14ac:dyDescent="0.25">
      <c r="F885">
        <f>(Note[[#This Row],[Note CC]]+Note[[#This Row],[Note SN]])/2</f>
        <v>0</v>
      </c>
    </row>
    <row r="886" spans="6:6" x14ac:dyDescent="0.25">
      <c r="F886">
        <f>(Note[[#This Row],[Note CC]]+Note[[#This Row],[Note SN]])/2</f>
        <v>0</v>
      </c>
    </row>
    <row r="887" spans="6:6" x14ac:dyDescent="0.25">
      <c r="F887">
        <f>(Note[[#This Row],[Note CC]]+Note[[#This Row],[Note SN]])/2</f>
        <v>0</v>
      </c>
    </row>
    <row r="888" spans="6:6" x14ac:dyDescent="0.25">
      <c r="F888">
        <f>(Note[[#This Row],[Note CC]]+Note[[#This Row],[Note SN]])/2</f>
        <v>0</v>
      </c>
    </row>
    <row r="889" spans="6:6" x14ac:dyDescent="0.25">
      <c r="F889">
        <f>(Note[[#This Row],[Note CC]]+Note[[#This Row],[Note SN]])/2</f>
        <v>0</v>
      </c>
    </row>
    <row r="890" spans="6:6" x14ac:dyDescent="0.25">
      <c r="F890">
        <f>(Note[[#This Row],[Note CC]]+Note[[#This Row],[Note SN]])/2</f>
        <v>0</v>
      </c>
    </row>
    <row r="891" spans="6:6" x14ac:dyDescent="0.25">
      <c r="F891">
        <f>(Note[[#This Row],[Note CC]]+Note[[#This Row],[Note SN]])/2</f>
        <v>0</v>
      </c>
    </row>
    <row r="892" spans="6:6" x14ac:dyDescent="0.25">
      <c r="F892">
        <f>(Note[[#This Row],[Note CC]]+Note[[#This Row],[Note SN]])/2</f>
        <v>0</v>
      </c>
    </row>
    <row r="893" spans="6:6" x14ac:dyDescent="0.25">
      <c r="F893">
        <f>(Note[[#This Row],[Note CC]]+Note[[#This Row],[Note SN]])/2</f>
        <v>0</v>
      </c>
    </row>
    <row r="894" spans="6:6" x14ac:dyDescent="0.25">
      <c r="F894">
        <f>(Note[[#This Row],[Note CC]]+Note[[#This Row],[Note SN]])/2</f>
        <v>0</v>
      </c>
    </row>
    <row r="895" spans="6:6" x14ac:dyDescent="0.25">
      <c r="F895">
        <f>(Note[[#This Row],[Note CC]]+Note[[#This Row],[Note SN]])/2</f>
        <v>0</v>
      </c>
    </row>
    <row r="896" spans="6:6" x14ac:dyDescent="0.25">
      <c r="F896">
        <f>(Note[[#This Row],[Note CC]]+Note[[#This Row],[Note SN]])/2</f>
        <v>0</v>
      </c>
    </row>
    <row r="897" spans="6:6" x14ac:dyDescent="0.25">
      <c r="F897">
        <f>(Note[[#This Row],[Note CC]]+Note[[#This Row],[Note SN]])/2</f>
        <v>0</v>
      </c>
    </row>
    <row r="898" spans="6:6" x14ac:dyDescent="0.25">
      <c r="F898">
        <f>(Note[[#This Row],[Note CC]]+Note[[#This Row],[Note SN]])/2</f>
        <v>0</v>
      </c>
    </row>
    <row r="899" spans="6:6" x14ac:dyDescent="0.25">
      <c r="F899">
        <f>(Note[[#This Row],[Note CC]]+Note[[#This Row],[Note SN]])/2</f>
        <v>0</v>
      </c>
    </row>
    <row r="900" spans="6:6" x14ac:dyDescent="0.25">
      <c r="F900">
        <f>(Note[[#This Row],[Note CC]]+Note[[#This Row],[Note SN]])/2</f>
        <v>0</v>
      </c>
    </row>
    <row r="901" spans="6:6" x14ac:dyDescent="0.25">
      <c r="F901">
        <f>(Note[[#This Row],[Note CC]]+Note[[#This Row],[Note SN]])/2</f>
        <v>0</v>
      </c>
    </row>
    <row r="902" spans="6:6" x14ac:dyDescent="0.25">
      <c r="F902">
        <f>(Note[[#This Row],[Note CC]]+Note[[#This Row],[Note SN]])/2</f>
        <v>0</v>
      </c>
    </row>
    <row r="903" spans="6:6" x14ac:dyDescent="0.25">
      <c r="F903">
        <f>(Note[[#This Row],[Note CC]]+Note[[#This Row],[Note SN]])/2</f>
        <v>0</v>
      </c>
    </row>
    <row r="904" spans="6:6" x14ac:dyDescent="0.25">
      <c r="F904">
        <f>(Note[[#This Row],[Note CC]]+Note[[#This Row],[Note SN]])/2</f>
        <v>0</v>
      </c>
    </row>
    <row r="905" spans="6:6" x14ac:dyDescent="0.25">
      <c r="F905">
        <f>(Note[[#This Row],[Note CC]]+Note[[#This Row],[Note SN]])/2</f>
        <v>0</v>
      </c>
    </row>
    <row r="906" spans="6:6" x14ac:dyDescent="0.25">
      <c r="F906">
        <f>(Note[[#This Row],[Note CC]]+Note[[#This Row],[Note SN]])/2</f>
        <v>0</v>
      </c>
    </row>
    <row r="907" spans="6:6" x14ac:dyDescent="0.25">
      <c r="F907">
        <f>(Note[[#This Row],[Note CC]]+Note[[#This Row],[Note SN]])/2</f>
        <v>0</v>
      </c>
    </row>
    <row r="908" spans="6:6" x14ac:dyDescent="0.25">
      <c r="F908">
        <f>(Note[[#This Row],[Note CC]]+Note[[#This Row],[Note SN]])/2</f>
        <v>0</v>
      </c>
    </row>
    <row r="909" spans="6:6" x14ac:dyDescent="0.25">
      <c r="F909">
        <f>(Note[[#This Row],[Note CC]]+Note[[#This Row],[Note SN]])/2</f>
        <v>0</v>
      </c>
    </row>
    <row r="910" spans="6:6" x14ac:dyDescent="0.25">
      <c r="F910">
        <f>(Note[[#This Row],[Note CC]]+Note[[#This Row],[Note SN]])/2</f>
        <v>0</v>
      </c>
    </row>
    <row r="911" spans="6:6" x14ac:dyDescent="0.25">
      <c r="F911">
        <f>(Note[[#This Row],[Note CC]]+Note[[#This Row],[Note SN]])/2</f>
        <v>0</v>
      </c>
    </row>
    <row r="912" spans="6:6" x14ac:dyDescent="0.25">
      <c r="F912">
        <f>(Note[[#This Row],[Note CC]]+Note[[#This Row],[Note SN]])/2</f>
        <v>0</v>
      </c>
    </row>
    <row r="913" spans="6:6" x14ac:dyDescent="0.25">
      <c r="F913">
        <f>(Note[[#This Row],[Note CC]]+Note[[#This Row],[Note SN]])/2</f>
        <v>0</v>
      </c>
    </row>
    <row r="914" spans="6:6" x14ac:dyDescent="0.25">
      <c r="F914">
        <f>(Note[[#This Row],[Note CC]]+Note[[#This Row],[Note SN]])/2</f>
        <v>0</v>
      </c>
    </row>
    <row r="915" spans="6:6" x14ac:dyDescent="0.25">
      <c r="F915">
        <f>(Note[[#This Row],[Note CC]]+Note[[#This Row],[Note SN]])/2</f>
        <v>0</v>
      </c>
    </row>
    <row r="916" spans="6:6" x14ac:dyDescent="0.25">
      <c r="F916">
        <f>(Note[[#This Row],[Note CC]]+Note[[#This Row],[Note SN]])/2</f>
        <v>0</v>
      </c>
    </row>
    <row r="917" spans="6:6" x14ac:dyDescent="0.25">
      <c r="F917">
        <f>(Note[[#This Row],[Note CC]]+Note[[#This Row],[Note SN]])/2</f>
        <v>0</v>
      </c>
    </row>
    <row r="918" spans="6:6" x14ac:dyDescent="0.25">
      <c r="F918">
        <f>(Note[[#This Row],[Note CC]]+Note[[#This Row],[Note SN]])/2</f>
        <v>0</v>
      </c>
    </row>
    <row r="919" spans="6:6" x14ac:dyDescent="0.25">
      <c r="F919">
        <f>(Note[[#This Row],[Note CC]]+Note[[#This Row],[Note SN]])/2</f>
        <v>0</v>
      </c>
    </row>
    <row r="920" spans="6:6" x14ac:dyDescent="0.25">
      <c r="F920">
        <f>(Note[[#This Row],[Note CC]]+Note[[#This Row],[Note SN]])/2</f>
        <v>0</v>
      </c>
    </row>
    <row r="921" spans="6:6" x14ac:dyDescent="0.25">
      <c r="F921">
        <f>(Note[[#This Row],[Note CC]]+Note[[#This Row],[Note SN]])/2</f>
        <v>0</v>
      </c>
    </row>
    <row r="922" spans="6:6" x14ac:dyDescent="0.25">
      <c r="F922">
        <f>(Note[[#This Row],[Note CC]]+Note[[#This Row],[Note SN]])/2</f>
        <v>0</v>
      </c>
    </row>
    <row r="923" spans="6:6" x14ac:dyDescent="0.25">
      <c r="F923">
        <f>(Note[[#This Row],[Note CC]]+Note[[#This Row],[Note SN]])/2</f>
        <v>0</v>
      </c>
    </row>
    <row r="924" spans="6:6" x14ac:dyDescent="0.25">
      <c r="F924">
        <f>(Note[[#This Row],[Note CC]]+Note[[#This Row],[Note SN]])/2</f>
        <v>0</v>
      </c>
    </row>
    <row r="925" spans="6:6" x14ac:dyDescent="0.25">
      <c r="F925">
        <f>(Note[[#This Row],[Note CC]]+Note[[#This Row],[Note SN]])/2</f>
        <v>0</v>
      </c>
    </row>
    <row r="926" spans="6:6" x14ac:dyDescent="0.25">
      <c r="F926">
        <f>(Note[[#This Row],[Note CC]]+Note[[#This Row],[Note SN]])/2</f>
        <v>0</v>
      </c>
    </row>
    <row r="927" spans="6:6" x14ac:dyDescent="0.25">
      <c r="F927">
        <f>(Note[[#This Row],[Note CC]]+Note[[#This Row],[Note SN]])/2</f>
        <v>0</v>
      </c>
    </row>
    <row r="928" spans="6:6" x14ac:dyDescent="0.25">
      <c r="F928">
        <f>(Note[[#This Row],[Note CC]]+Note[[#This Row],[Note SN]])/2</f>
        <v>0</v>
      </c>
    </row>
    <row r="929" spans="6:6" x14ac:dyDescent="0.25">
      <c r="F929">
        <f>(Note[[#This Row],[Note CC]]+Note[[#This Row],[Note SN]])/2</f>
        <v>0</v>
      </c>
    </row>
    <row r="930" spans="6:6" x14ac:dyDescent="0.25">
      <c r="F930">
        <f>(Note[[#This Row],[Note CC]]+Note[[#This Row],[Note SN]])/2</f>
        <v>0</v>
      </c>
    </row>
    <row r="931" spans="6:6" x14ac:dyDescent="0.25">
      <c r="F931">
        <f>(Note[[#This Row],[Note CC]]+Note[[#This Row],[Note SN]])/2</f>
        <v>0</v>
      </c>
    </row>
    <row r="932" spans="6:6" x14ac:dyDescent="0.25">
      <c r="F932">
        <f>(Note[[#This Row],[Note CC]]+Note[[#This Row],[Note SN]])/2</f>
        <v>0</v>
      </c>
    </row>
    <row r="933" spans="6:6" x14ac:dyDescent="0.25">
      <c r="F933">
        <f>(Note[[#This Row],[Note CC]]+Note[[#This Row],[Note SN]])/2</f>
        <v>0</v>
      </c>
    </row>
    <row r="934" spans="6:6" x14ac:dyDescent="0.25">
      <c r="F934">
        <f>(Note[[#This Row],[Note CC]]+Note[[#This Row],[Note SN]])/2</f>
        <v>0</v>
      </c>
    </row>
    <row r="935" spans="6:6" x14ac:dyDescent="0.25">
      <c r="F935">
        <f>(Note[[#This Row],[Note CC]]+Note[[#This Row],[Note SN]])/2</f>
        <v>0</v>
      </c>
    </row>
    <row r="936" spans="6:6" x14ac:dyDescent="0.25">
      <c r="F936">
        <f>(Note[[#This Row],[Note CC]]+Note[[#This Row],[Note SN]])/2</f>
        <v>0</v>
      </c>
    </row>
    <row r="937" spans="6:6" x14ac:dyDescent="0.25">
      <c r="F937">
        <f>(Note[[#This Row],[Note CC]]+Note[[#This Row],[Note SN]])/2</f>
        <v>0</v>
      </c>
    </row>
    <row r="938" spans="6:6" x14ac:dyDescent="0.25">
      <c r="F938">
        <f>(Note[[#This Row],[Note CC]]+Note[[#This Row],[Note SN]])/2</f>
        <v>0</v>
      </c>
    </row>
    <row r="939" spans="6:6" x14ac:dyDescent="0.25">
      <c r="F939">
        <f>(Note[[#This Row],[Note CC]]+Note[[#This Row],[Note SN]])/2</f>
        <v>0</v>
      </c>
    </row>
    <row r="940" spans="6:6" x14ac:dyDescent="0.25">
      <c r="F940">
        <f>(Note[[#This Row],[Note CC]]+Note[[#This Row],[Note SN]])/2</f>
        <v>0</v>
      </c>
    </row>
    <row r="941" spans="6:6" x14ac:dyDescent="0.25">
      <c r="F941">
        <f>(Note[[#This Row],[Note CC]]+Note[[#This Row],[Note SN]])/2</f>
        <v>0</v>
      </c>
    </row>
    <row r="942" spans="6:6" x14ac:dyDescent="0.25">
      <c r="F942">
        <f>(Note[[#This Row],[Note CC]]+Note[[#This Row],[Note SN]])/2</f>
        <v>0</v>
      </c>
    </row>
    <row r="943" spans="6:6" x14ac:dyDescent="0.25">
      <c r="F943">
        <f>(Note[[#This Row],[Note CC]]+Note[[#This Row],[Note SN]])/2</f>
        <v>0</v>
      </c>
    </row>
    <row r="944" spans="6:6" x14ac:dyDescent="0.25">
      <c r="F944">
        <f>(Note[[#This Row],[Note CC]]+Note[[#This Row],[Note SN]])/2</f>
        <v>0</v>
      </c>
    </row>
    <row r="945" spans="6:6" x14ac:dyDescent="0.25">
      <c r="F945">
        <f>(Note[[#This Row],[Note CC]]+Note[[#This Row],[Note SN]])/2</f>
        <v>0</v>
      </c>
    </row>
    <row r="946" spans="6:6" x14ac:dyDescent="0.25">
      <c r="F946">
        <f>(Note[[#This Row],[Note CC]]+Note[[#This Row],[Note SN]])/2</f>
        <v>0</v>
      </c>
    </row>
    <row r="947" spans="6:6" x14ac:dyDescent="0.25">
      <c r="F947">
        <f>(Note[[#This Row],[Note CC]]+Note[[#This Row],[Note SN]])/2</f>
        <v>0</v>
      </c>
    </row>
    <row r="948" spans="6:6" x14ac:dyDescent="0.25">
      <c r="F948">
        <f>(Note[[#This Row],[Note CC]]+Note[[#This Row],[Note SN]])/2</f>
        <v>0</v>
      </c>
    </row>
    <row r="949" spans="6:6" x14ac:dyDescent="0.25">
      <c r="F949">
        <f>(Note[[#This Row],[Note CC]]+Note[[#This Row],[Note SN]])/2</f>
        <v>0</v>
      </c>
    </row>
    <row r="950" spans="6:6" x14ac:dyDescent="0.25">
      <c r="F950">
        <f>(Note[[#This Row],[Note CC]]+Note[[#This Row],[Note SN]])/2</f>
        <v>0</v>
      </c>
    </row>
    <row r="951" spans="6:6" x14ac:dyDescent="0.25">
      <c r="F951">
        <f>(Note[[#This Row],[Note CC]]+Note[[#This Row],[Note SN]])/2</f>
        <v>0</v>
      </c>
    </row>
    <row r="952" spans="6:6" x14ac:dyDescent="0.25">
      <c r="F952">
        <f>(Note[[#This Row],[Note CC]]+Note[[#This Row],[Note SN]])/2</f>
        <v>0</v>
      </c>
    </row>
    <row r="953" spans="6:6" x14ac:dyDescent="0.25">
      <c r="F953">
        <f>(Note[[#This Row],[Note CC]]+Note[[#This Row],[Note SN]])/2</f>
        <v>0</v>
      </c>
    </row>
    <row r="954" spans="6:6" x14ac:dyDescent="0.25">
      <c r="F954">
        <f>(Note[[#This Row],[Note CC]]+Note[[#This Row],[Note SN]])/2</f>
        <v>0</v>
      </c>
    </row>
    <row r="955" spans="6:6" x14ac:dyDescent="0.25">
      <c r="F955">
        <f>(Note[[#This Row],[Note CC]]+Note[[#This Row],[Note SN]])/2</f>
        <v>0</v>
      </c>
    </row>
    <row r="956" spans="6:6" x14ac:dyDescent="0.25">
      <c r="F956">
        <f>(Note[[#This Row],[Note CC]]+Note[[#This Row],[Note SN]])/2</f>
        <v>0</v>
      </c>
    </row>
    <row r="957" spans="6:6" x14ac:dyDescent="0.25">
      <c r="F957">
        <f>(Note[[#This Row],[Note CC]]+Note[[#This Row],[Note SN]])/2</f>
        <v>0</v>
      </c>
    </row>
    <row r="958" spans="6:6" x14ac:dyDescent="0.25">
      <c r="F958">
        <f>(Note[[#This Row],[Note CC]]+Note[[#This Row],[Note SN]])/2</f>
        <v>0</v>
      </c>
    </row>
    <row r="959" spans="6:6" x14ac:dyDescent="0.25">
      <c r="F959">
        <f>(Note[[#This Row],[Note CC]]+Note[[#This Row],[Note SN]])/2</f>
        <v>0</v>
      </c>
    </row>
    <row r="960" spans="6:6" x14ac:dyDescent="0.25">
      <c r="F960">
        <f>(Note[[#This Row],[Note CC]]+Note[[#This Row],[Note SN]])/2</f>
        <v>0</v>
      </c>
    </row>
    <row r="961" spans="6:6" x14ac:dyDescent="0.25">
      <c r="F961">
        <f>(Note[[#This Row],[Note CC]]+Note[[#This Row],[Note SN]])/2</f>
        <v>0</v>
      </c>
    </row>
    <row r="962" spans="6:6" x14ac:dyDescent="0.25">
      <c r="F962">
        <f>(Note[[#This Row],[Note CC]]+Note[[#This Row],[Note SN]])/2</f>
        <v>0</v>
      </c>
    </row>
    <row r="963" spans="6:6" x14ac:dyDescent="0.25">
      <c r="F963">
        <f>(Note[[#This Row],[Note CC]]+Note[[#This Row],[Note SN]])/2</f>
        <v>0</v>
      </c>
    </row>
    <row r="964" spans="6:6" x14ac:dyDescent="0.25">
      <c r="F964">
        <f>(Note[[#This Row],[Note CC]]+Note[[#This Row],[Note SN]])/2</f>
        <v>0</v>
      </c>
    </row>
    <row r="965" spans="6:6" x14ac:dyDescent="0.25">
      <c r="F965">
        <f>(Note[[#This Row],[Note CC]]+Note[[#This Row],[Note SN]])/2</f>
        <v>0</v>
      </c>
    </row>
    <row r="966" spans="6:6" x14ac:dyDescent="0.25">
      <c r="F966">
        <f>(Note[[#This Row],[Note CC]]+Note[[#This Row],[Note SN]])/2</f>
        <v>0</v>
      </c>
    </row>
    <row r="967" spans="6:6" x14ac:dyDescent="0.25">
      <c r="F967">
        <f>(Note[[#This Row],[Note CC]]+Note[[#This Row],[Note SN]])/2</f>
        <v>0</v>
      </c>
    </row>
    <row r="968" spans="6:6" x14ac:dyDescent="0.25">
      <c r="F968">
        <f>(Note[[#This Row],[Note CC]]+Note[[#This Row],[Note SN]])/2</f>
        <v>0</v>
      </c>
    </row>
    <row r="969" spans="6:6" x14ac:dyDescent="0.25">
      <c r="F969">
        <f>(Note[[#This Row],[Note CC]]+Note[[#This Row],[Note SN]])/2</f>
        <v>0</v>
      </c>
    </row>
    <row r="970" spans="6:6" x14ac:dyDescent="0.25">
      <c r="F970">
        <f>(Note[[#This Row],[Note CC]]+Note[[#This Row],[Note SN]])/2</f>
        <v>0</v>
      </c>
    </row>
    <row r="971" spans="6:6" x14ac:dyDescent="0.25">
      <c r="F971">
        <f>(Note[[#This Row],[Note CC]]+Note[[#This Row],[Note SN]])/2</f>
        <v>0</v>
      </c>
    </row>
    <row r="972" spans="6:6" x14ac:dyDescent="0.25">
      <c r="F972">
        <f>(Note[[#This Row],[Note CC]]+Note[[#This Row],[Note SN]])/2</f>
        <v>0</v>
      </c>
    </row>
    <row r="973" spans="6:6" x14ac:dyDescent="0.25">
      <c r="F973">
        <f>(Note[[#This Row],[Note CC]]+Note[[#This Row],[Note SN]])/2</f>
        <v>0</v>
      </c>
    </row>
    <row r="974" spans="6:6" x14ac:dyDescent="0.25">
      <c r="F974">
        <f>(Note[[#This Row],[Note CC]]+Note[[#This Row],[Note SN]])/2</f>
        <v>0</v>
      </c>
    </row>
    <row r="975" spans="6:6" x14ac:dyDescent="0.25">
      <c r="F975">
        <f>(Note[[#This Row],[Note CC]]+Note[[#This Row],[Note SN]])/2</f>
        <v>0</v>
      </c>
    </row>
    <row r="976" spans="6:6" x14ac:dyDescent="0.25">
      <c r="F976">
        <f>(Note[[#This Row],[Note CC]]+Note[[#This Row],[Note SN]])/2</f>
        <v>0</v>
      </c>
    </row>
    <row r="977" spans="6:6" x14ac:dyDescent="0.25">
      <c r="F977">
        <f>(Note[[#This Row],[Note CC]]+Note[[#This Row],[Note SN]])/2</f>
        <v>0</v>
      </c>
    </row>
    <row r="978" spans="6:6" x14ac:dyDescent="0.25">
      <c r="F978">
        <f>(Note[[#This Row],[Note CC]]+Note[[#This Row],[Note SN]])/2</f>
        <v>0</v>
      </c>
    </row>
    <row r="979" spans="6:6" x14ac:dyDescent="0.25">
      <c r="F979">
        <f>(Note[[#This Row],[Note CC]]+Note[[#This Row],[Note SN]])/2</f>
        <v>0</v>
      </c>
    </row>
    <row r="980" spans="6:6" x14ac:dyDescent="0.25">
      <c r="F980">
        <f>(Note[[#This Row],[Note CC]]+Note[[#This Row],[Note SN]])/2</f>
        <v>0</v>
      </c>
    </row>
    <row r="981" spans="6:6" x14ac:dyDescent="0.25">
      <c r="F981">
        <f>(Note[[#This Row],[Note CC]]+Note[[#This Row],[Note SN]])/2</f>
        <v>0</v>
      </c>
    </row>
    <row r="982" spans="6:6" x14ac:dyDescent="0.25">
      <c r="F982">
        <f>(Note[[#This Row],[Note CC]]+Note[[#This Row],[Note SN]])/2</f>
        <v>0</v>
      </c>
    </row>
    <row r="983" spans="6:6" x14ac:dyDescent="0.25">
      <c r="F983">
        <f>(Note[[#This Row],[Note CC]]+Note[[#This Row],[Note SN]])/2</f>
        <v>0</v>
      </c>
    </row>
    <row r="984" spans="6:6" x14ac:dyDescent="0.25">
      <c r="F984">
        <f>(Note[[#This Row],[Note CC]]+Note[[#This Row],[Note SN]])/2</f>
        <v>0</v>
      </c>
    </row>
    <row r="985" spans="6:6" x14ac:dyDescent="0.25">
      <c r="F985">
        <f>(Note[[#This Row],[Note CC]]+Note[[#This Row],[Note SN]])/2</f>
        <v>0</v>
      </c>
    </row>
    <row r="986" spans="6:6" x14ac:dyDescent="0.25">
      <c r="F986">
        <f>(Note[[#This Row],[Note CC]]+Note[[#This Row],[Note SN]])/2</f>
        <v>0</v>
      </c>
    </row>
    <row r="987" spans="6:6" x14ac:dyDescent="0.25">
      <c r="F987">
        <f>(Note[[#This Row],[Note CC]]+Note[[#This Row],[Note SN]])/2</f>
        <v>0</v>
      </c>
    </row>
    <row r="988" spans="6:6" x14ac:dyDescent="0.25">
      <c r="F988">
        <f>(Note[[#This Row],[Note CC]]+Note[[#This Row],[Note SN]])/2</f>
        <v>0</v>
      </c>
    </row>
    <row r="989" spans="6:6" x14ac:dyDescent="0.25">
      <c r="F989">
        <f>(Note[[#This Row],[Note CC]]+Note[[#This Row],[Note SN]])/2</f>
        <v>0</v>
      </c>
    </row>
    <row r="990" spans="6:6" x14ac:dyDescent="0.25">
      <c r="F990">
        <f>(Note[[#This Row],[Note CC]]+Note[[#This Row],[Note SN]])/2</f>
        <v>0</v>
      </c>
    </row>
    <row r="991" spans="6:6" x14ac:dyDescent="0.25">
      <c r="F991">
        <f>(Note[[#This Row],[Note CC]]+Note[[#This Row],[Note SN]])/2</f>
        <v>0</v>
      </c>
    </row>
    <row r="992" spans="6:6" x14ac:dyDescent="0.25">
      <c r="F992">
        <f>(Note[[#This Row],[Note CC]]+Note[[#This Row],[Note SN]])/2</f>
        <v>0</v>
      </c>
    </row>
    <row r="993" spans="6:6" x14ac:dyDescent="0.25">
      <c r="F993">
        <f>(Note[[#This Row],[Note CC]]+Note[[#This Row],[Note SN]])/2</f>
        <v>0</v>
      </c>
    </row>
    <row r="994" spans="6:6" x14ac:dyDescent="0.25">
      <c r="F994">
        <f>(Note[[#This Row],[Note CC]]+Note[[#This Row],[Note SN]])/2</f>
        <v>0</v>
      </c>
    </row>
    <row r="995" spans="6:6" x14ac:dyDescent="0.25">
      <c r="F995">
        <f>(Note[[#This Row],[Note CC]]+Note[[#This Row],[Note SN]])/2</f>
        <v>0</v>
      </c>
    </row>
    <row r="996" spans="6:6" x14ac:dyDescent="0.25">
      <c r="F996">
        <f>(Note[[#This Row],[Note CC]]+Note[[#This Row],[Note SN]])/2</f>
        <v>0</v>
      </c>
    </row>
    <row r="997" spans="6:6" x14ac:dyDescent="0.25">
      <c r="F997">
        <f>(Note[[#This Row],[Note CC]]+Note[[#This Row],[Note SN]])/2</f>
        <v>0</v>
      </c>
    </row>
    <row r="998" spans="6:6" x14ac:dyDescent="0.25">
      <c r="F998">
        <f>(Note[[#This Row],[Note CC]]+Note[[#This Row],[Note SN]])/2</f>
        <v>0</v>
      </c>
    </row>
    <row r="999" spans="6:6" x14ac:dyDescent="0.25">
      <c r="F999">
        <f>(Note[[#This Row],[Note CC]]+Note[[#This Row],[Note SN]])/2</f>
        <v>0</v>
      </c>
    </row>
    <row r="1000" spans="6:6" x14ac:dyDescent="0.25">
      <c r="F1000">
        <f>(Note[[#This Row],[Note CC]]+Note[[#This Row],[Note SN]])/2</f>
        <v>0</v>
      </c>
    </row>
    <row r="1001" spans="6:6" x14ac:dyDescent="0.25">
      <c r="F1001">
        <f>(Note[[#This Row],[Note CC]]+Note[[#This Row],[Note SN]])/2</f>
        <v>0</v>
      </c>
    </row>
    <row r="1002" spans="6:6" x14ac:dyDescent="0.25">
      <c r="F1002">
        <f>(Note[[#This Row],[Note CC]]+Note[[#This Row],[Note SN]])/2</f>
        <v>0</v>
      </c>
    </row>
    <row r="1003" spans="6:6" x14ac:dyDescent="0.25">
      <c r="F1003">
        <f>(Note[[#This Row],[Note CC]]+Note[[#This Row],[Note SN]])/2</f>
        <v>0</v>
      </c>
    </row>
    <row r="1004" spans="6:6" x14ac:dyDescent="0.25">
      <c r="F1004">
        <f>(Note[[#This Row],[Note CC]]+Note[[#This Row],[Note SN]])/2</f>
        <v>0</v>
      </c>
    </row>
    <row r="1005" spans="6:6" x14ac:dyDescent="0.25">
      <c r="F1005">
        <f>(Note[[#This Row],[Note CC]]+Note[[#This Row],[Note SN]])/2</f>
        <v>0</v>
      </c>
    </row>
    <row r="1006" spans="6:6" x14ac:dyDescent="0.25">
      <c r="F1006">
        <f>(Note[[#This Row],[Note CC]]+Note[[#This Row],[Note SN]])/2</f>
        <v>0</v>
      </c>
    </row>
    <row r="1007" spans="6:6" x14ac:dyDescent="0.25">
      <c r="F1007">
        <f>(Note[[#This Row],[Note CC]]+Note[[#This Row],[Note SN]])/2</f>
        <v>0</v>
      </c>
    </row>
    <row r="1008" spans="6:6" x14ac:dyDescent="0.25">
      <c r="F1008">
        <f>(Note[[#This Row],[Note CC]]+Note[[#This Row],[Note SN]])/2</f>
        <v>0</v>
      </c>
    </row>
    <row r="1009" spans="6:6" x14ac:dyDescent="0.25">
      <c r="F1009">
        <f>(Note[[#This Row],[Note CC]]+Note[[#This Row],[Note SN]])/2</f>
        <v>0</v>
      </c>
    </row>
    <row r="1010" spans="6:6" x14ac:dyDescent="0.25">
      <c r="F1010">
        <f>(Note[[#This Row],[Note CC]]+Note[[#This Row],[Note SN]])/2</f>
        <v>0</v>
      </c>
    </row>
    <row r="1011" spans="6:6" x14ac:dyDescent="0.25">
      <c r="F1011">
        <f>(Note[[#This Row],[Note CC]]+Note[[#This Row],[Note SN]])/2</f>
        <v>0</v>
      </c>
    </row>
    <row r="1012" spans="6:6" x14ac:dyDescent="0.25">
      <c r="F1012">
        <f>(Note[[#This Row],[Note CC]]+Note[[#This Row],[Note SN]])/2</f>
        <v>0</v>
      </c>
    </row>
    <row r="1013" spans="6:6" x14ac:dyDescent="0.25">
      <c r="F1013">
        <f>(Note[[#This Row],[Note CC]]+Note[[#This Row],[Note SN]])/2</f>
        <v>0</v>
      </c>
    </row>
    <row r="1014" spans="6:6" x14ac:dyDescent="0.25">
      <c r="F1014">
        <f>(Note[[#This Row],[Note CC]]+Note[[#This Row],[Note SN]])/2</f>
        <v>0</v>
      </c>
    </row>
    <row r="1015" spans="6:6" x14ac:dyDescent="0.25">
      <c r="F1015">
        <f>(Note[[#This Row],[Note CC]]+Note[[#This Row],[Note SN]])/2</f>
        <v>0</v>
      </c>
    </row>
    <row r="1016" spans="6:6" x14ac:dyDescent="0.25">
      <c r="F1016">
        <f>(Note[[#This Row],[Note CC]]+Note[[#This Row],[Note SN]])/2</f>
        <v>0</v>
      </c>
    </row>
    <row r="1017" spans="6:6" x14ac:dyDescent="0.25">
      <c r="F1017">
        <f>(Note[[#This Row],[Note CC]]+Note[[#This Row],[Note SN]])/2</f>
        <v>0</v>
      </c>
    </row>
    <row r="1018" spans="6:6" x14ac:dyDescent="0.25">
      <c r="F1018">
        <f>(Note[[#This Row],[Note CC]]+Note[[#This Row],[Note SN]])/2</f>
        <v>0</v>
      </c>
    </row>
    <row r="1019" spans="6:6" x14ac:dyDescent="0.25">
      <c r="F1019">
        <f>(Note[[#This Row],[Note CC]]+Note[[#This Row],[Note SN]])/2</f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9" tint="-0.499984740745262"/>
  </sheetPr>
  <dimension ref="A1:K36"/>
  <sheetViews>
    <sheetView showGridLines="0" zoomScaleNormal="100" workbookViewId="0">
      <selection activeCell="B8" sqref="B8:E8"/>
    </sheetView>
  </sheetViews>
  <sheetFormatPr baseColWidth="10" defaultRowHeight="15" x14ac:dyDescent="0.25"/>
  <cols>
    <col min="1" max="1" width="29" style="3" customWidth="1"/>
    <col min="2" max="7" width="11.42578125" style="3"/>
    <col min="8" max="8" width="15.85546875" style="3" customWidth="1"/>
    <col min="9" max="9" width="15" style="3" customWidth="1"/>
    <col min="10" max="10" width="16.28515625" style="3" customWidth="1"/>
    <col min="11" max="11" width="27.140625" style="3" customWidth="1"/>
    <col min="12" max="16384" width="11.42578125" style="3"/>
  </cols>
  <sheetData>
    <row r="1" spans="1:11" x14ac:dyDescent="0.25">
      <c r="A1" s="17" t="s">
        <v>91</v>
      </c>
      <c r="B1" s="17"/>
      <c r="C1" s="17"/>
      <c r="D1" s="17"/>
      <c r="E1" s="17"/>
    </row>
    <row r="2" spans="1:11" x14ac:dyDescent="0.25">
      <c r="A2" s="17"/>
      <c r="B2" s="17"/>
      <c r="C2" s="17"/>
      <c r="D2" s="17"/>
      <c r="E2" s="17"/>
    </row>
    <row r="3" spans="1:11" x14ac:dyDescent="0.25">
      <c r="A3" s="17"/>
      <c r="B3" s="17"/>
      <c r="C3" s="17"/>
      <c r="D3" s="17"/>
      <c r="E3" s="17"/>
    </row>
    <row r="4" spans="1:11" x14ac:dyDescent="0.25">
      <c r="A4" s="18" t="s">
        <v>92</v>
      </c>
      <c r="B4" s="18"/>
      <c r="C4" s="18"/>
      <c r="D4" s="18"/>
      <c r="E4" s="18"/>
    </row>
    <row r="7" spans="1:11" ht="15.75" thickBot="1" x14ac:dyDescent="0.3">
      <c r="A7" s="43" t="s">
        <v>56</v>
      </c>
      <c r="B7" s="43"/>
      <c r="C7" s="43"/>
      <c r="D7" s="43"/>
      <c r="E7" s="43"/>
    </row>
    <row r="8" spans="1:11" x14ac:dyDescent="0.25">
      <c r="A8" s="4" t="s">
        <v>0</v>
      </c>
      <c r="B8" s="19" t="s">
        <v>60</v>
      </c>
      <c r="C8" s="19"/>
      <c r="D8" s="19"/>
      <c r="E8" s="20"/>
    </row>
    <row r="9" spans="1:11" x14ac:dyDescent="0.25">
      <c r="A9" s="5" t="s">
        <v>15</v>
      </c>
      <c r="B9" s="21" t="str">
        <f>IFERROR(VLOOKUP(Bulletin!B8,Eleve[],2,FALSE),"")</f>
        <v>TCHAO Paul</v>
      </c>
      <c r="C9" s="21"/>
      <c r="D9" s="21"/>
      <c r="E9" s="22"/>
    </row>
    <row r="10" spans="1:11" ht="15.75" thickBot="1" x14ac:dyDescent="0.3">
      <c r="A10" s="6" t="s">
        <v>16</v>
      </c>
      <c r="B10" s="23" t="str">
        <f>IFERROR(VLOOKUP(B8,Eleve[],3,FALSE),"")</f>
        <v>Bachelor1</v>
      </c>
      <c r="C10" s="23"/>
      <c r="D10" s="23"/>
      <c r="E10" s="24"/>
    </row>
    <row r="11" spans="1:11" ht="15.75" thickBot="1" x14ac:dyDescent="0.3"/>
    <row r="12" spans="1:11" x14ac:dyDescent="0.25">
      <c r="A12" s="25" t="s">
        <v>44</v>
      </c>
      <c r="B12" s="27" t="s">
        <v>37</v>
      </c>
      <c r="C12" s="27" t="s">
        <v>38</v>
      </c>
      <c r="D12" s="29" t="s">
        <v>40</v>
      </c>
      <c r="E12" s="30"/>
      <c r="F12" s="31"/>
      <c r="G12" s="29" t="s">
        <v>42</v>
      </c>
      <c r="H12" s="31"/>
      <c r="I12" s="32" t="s">
        <v>43</v>
      </c>
      <c r="J12" s="33"/>
      <c r="K12" s="34"/>
    </row>
    <row r="13" spans="1:11" x14ac:dyDescent="0.25">
      <c r="A13" s="26"/>
      <c r="B13" s="28"/>
      <c r="C13" s="28"/>
      <c r="D13" s="7" t="s">
        <v>39</v>
      </c>
      <c r="E13" s="7" t="s">
        <v>41</v>
      </c>
      <c r="F13" s="7" t="s">
        <v>1</v>
      </c>
      <c r="G13" s="7" t="s">
        <v>41</v>
      </c>
      <c r="H13" s="7" t="s">
        <v>1</v>
      </c>
      <c r="I13" s="35"/>
      <c r="J13" s="36"/>
      <c r="K13" s="37"/>
    </row>
    <row r="14" spans="1:11" x14ac:dyDescent="0.25">
      <c r="A14" s="5" t="s">
        <v>17</v>
      </c>
      <c r="B14" s="7">
        <f>IFERROR(VLOOKUP(A14,Matieres[],3,FALSE),"")</f>
        <v>2</v>
      </c>
      <c r="C14" s="7">
        <f>IF(A14="","",IFERROR(COUNTIFS(notes!A:A,Bulletin!$B$8,notes!C:C,Bulletin!A14),""))</f>
        <v>1</v>
      </c>
      <c r="D14" s="7">
        <f>IFERROR(VLOOKUP(A14,Matieres[],2,FALSE),"")</f>
        <v>3</v>
      </c>
      <c r="E14" s="7">
        <f>IFERROR(AVERAGEIFS(Note[Moyenne],Note[Matricule de l''eleve],Bulletin!$B$8,Note[Matiere],Bulletin!A14),"")</f>
        <v>18.5</v>
      </c>
      <c r="F14" s="7">
        <f>IFERROR(AVERAGEIF(Note[Matiere],Bulletin!A14,Note[Moyenne]),"")</f>
        <v>13.772727272727273</v>
      </c>
      <c r="G14" s="7">
        <f>IFERROR(IF(A14="","",D14*E14),"")</f>
        <v>55.5</v>
      </c>
      <c r="H14" s="7">
        <f>IFERROR(IF(A14="","",D14*F14),"")</f>
        <v>41.31818181818182</v>
      </c>
      <c r="I14" s="38" t="str">
        <f>IFERROR(IF(E14="","",IF(E14&lt;10,"NON ACQUIS",IF(E14&lt;16,"EN COURS D'ACQUISITION","ACQUIS"))),"")</f>
        <v>ACQUIS</v>
      </c>
      <c r="J14" s="40"/>
      <c r="K14" s="41"/>
    </row>
    <row r="15" spans="1:11" x14ac:dyDescent="0.25">
      <c r="A15" s="5" t="s">
        <v>18</v>
      </c>
      <c r="B15" s="7">
        <f>IFERROR(VLOOKUP(A15,Matieres[],3,FALSE),"")</f>
        <v>2</v>
      </c>
      <c r="C15" s="7">
        <f>IF(A15="","",IFERROR(COUNTIFS(notes!A:A,Bulletin!$B$8,notes!C:C,Bulletin!A15),""))</f>
        <v>1</v>
      </c>
      <c r="D15" s="7">
        <f>IFERROR(VLOOKUP(A15,Matieres[],2,FALSE),"")</f>
        <v>3</v>
      </c>
      <c r="E15" s="7">
        <f>IFERROR(AVERAGEIFS(Note[Moyenne],Note[Matricule de l''eleve],Bulletin!$B$8,Note[Matiere],Bulletin!A15),"")</f>
        <v>14</v>
      </c>
      <c r="F15" s="7">
        <f>IFERROR(AVERAGEIF(Note[Matiere],Bulletin!A15,Note[Moyenne]),"")</f>
        <v>12.5</v>
      </c>
      <c r="G15" s="7">
        <f t="shared" ref="G15:G32" si="0">IFERROR(IF(A15="","",D15*E15),"")</f>
        <v>42</v>
      </c>
      <c r="H15" s="7">
        <f t="shared" ref="H15:H32" si="1">IFERROR(IF(A15="","",D15*F15),"")</f>
        <v>37.5</v>
      </c>
      <c r="I15" s="38" t="str">
        <f t="shared" ref="I15:I32" si="2">IFERROR(IF(E15="","",IF(E15&lt;10,"NON ACQUIS",IF(E15&lt;16,"EN COURS D'ACQUISITION","ACQUIS"))),"")</f>
        <v>EN COURS D'ACQUISITION</v>
      </c>
      <c r="J15" s="40"/>
      <c r="K15" s="41"/>
    </row>
    <row r="16" spans="1:11" x14ac:dyDescent="0.25">
      <c r="A16" s="5" t="s">
        <v>14</v>
      </c>
      <c r="B16" s="7">
        <f>IFERROR(VLOOKUP(A16,Matieres[],3,FALSE),"")</f>
        <v>1</v>
      </c>
      <c r="C16" s="7">
        <f>IF(A16="","",IFERROR(COUNTIFS(notes!A:A,Bulletin!$B$8,notes!C:C,Bulletin!A16),""))</f>
        <v>0</v>
      </c>
      <c r="D16" s="7">
        <f>IFERROR(VLOOKUP(A16,Matieres[],2,FALSE),"")</f>
        <v>3</v>
      </c>
      <c r="E16" s="7" t="str">
        <f>IFERROR(AVERAGEIFS(Note[Moyenne],Note[Matricule de l''eleve],Bulletin!$B$8,Note[Matiere],Bulletin!A16),"")</f>
        <v/>
      </c>
      <c r="F16" s="7">
        <f>IFERROR(AVERAGEIF(Note[Matiere],Bulletin!A16,Note[Moyenne]),"")</f>
        <v>10</v>
      </c>
      <c r="G16" s="7" t="str">
        <f t="shared" si="0"/>
        <v/>
      </c>
      <c r="H16" s="7">
        <f t="shared" si="1"/>
        <v>30</v>
      </c>
      <c r="I16" s="38" t="str">
        <f t="shared" si="2"/>
        <v/>
      </c>
      <c r="J16" s="40"/>
      <c r="K16" s="41"/>
    </row>
    <row r="17" spans="1:11" x14ac:dyDescent="0.25">
      <c r="A17" s="5" t="s">
        <v>19</v>
      </c>
      <c r="B17" s="7">
        <f>IFERROR(VLOOKUP(A17,Matieres[],3,FALSE),"")</f>
        <v>2</v>
      </c>
      <c r="C17" s="7">
        <f>IF(A17="","",IFERROR(COUNTIFS(notes!A:A,Bulletin!$B$8,notes!C:C,Bulletin!A17),""))</f>
        <v>1</v>
      </c>
      <c r="D17" s="7">
        <f>IFERROR(VLOOKUP(A17,Matieres[],2,FALSE),"")</f>
        <v>2</v>
      </c>
      <c r="E17" s="7">
        <f>IFERROR(AVERAGEIFS(Note[Moyenne],Note[Matricule de l''eleve],Bulletin!$B$8,Note[Matiere],Bulletin!A17),"")</f>
        <v>13</v>
      </c>
      <c r="F17" s="7">
        <f>IFERROR(AVERAGEIF(Note[Matiere],Bulletin!A17,Note[Moyenne]),"")</f>
        <v>12</v>
      </c>
      <c r="G17" s="7">
        <f t="shared" si="0"/>
        <v>26</v>
      </c>
      <c r="H17" s="7">
        <f t="shared" si="1"/>
        <v>24</v>
      </c>
      <c r="I17" s="38" t="str">
        <f t="shared" si="2"/>
        <v>EN COURS D'ACQUISITION</v>
      </c>
      <c r="J17" s="40"/>
      <c r="K17" s="41"/>
    </row>
    <row r="18" spans="1:11" x14ac:dyDescent="0.25">
      <c r="A18" s="5" t="s">
        <v>20</v>
      </c>
      <c r="B18" s="7">
        <f>IFERROR(VLOOKUP(A18,Matieres[],3,FALSE),"")</f>
        <v>2</v>
      </c>
      <c r="C18" s="7">
        <f>IF(A18="","",IFERROR(COUNTIFS(notes!A:A,Bulletin!$B$8,notes!C:C,Bulletin!A18),""))</f>
        <v>1</v>
      </c>
      <c r="D18" s="7">
        <f>IFERROR(VLOOKUP(A18,Matieres[],2,FALSE),"")</f>
        <v>2</v>
      </c>
      <c r="E18" s="7">
        <f>IFERROR(AVERAGEIFS(Note[Moyenne],Note[Matricule de l''eleve],Bulletin!$B$8,Note[Matiere],Bulletin!A18),"")</f>
        <v>12.5</v>
      </c>
      <c r="F18" s="7">
        <f>IFERROR(AVERAGEIF(Note[Matiere],Bulletin!A18,Note[Moyenne]),"")</f>
        <v>12.5</v>
      </c>
      <c r="G18" s="7">
        <f t="shared" si="0"/>
        <v>25</v>
      </c>
      <c r="H18" s="7">
        <f t="shared" si="1"/>
        <v>25</v>
      </c>
      <c r="I18" s="38" t="str">
        <f t="shared" si="2"/>
        <v>EN COURS D'ACQUISITION</v>
      </c>
      <c r="J18" s="40"/>
      <c r="K18" s="41"/>
    </row>
    <row r="19" spans="1:11" x14ac:dyDescent="0.25">
      <c r="A19" s="5" t="s">
        <v>21</v>
      </c>
      <c r="B19" s="7">
        <f>IFERROR(VLOOKUP(A19,Matieres[],3,FALSE),"")</f>
        <v>2</v>
      </c>
      <c r="C19" s="7">
        <f>IF(A19="","",IFERROR(COUNTIFS(notes!A:A,Bulletin!$B$8,notes!C:C,Bulletin!A19),""))</f>
        <v>1</v>
      </c>
      <c r="D19" s="7">
        <f>IFERROR(VLOOKUP(A19,Matieres[],2,FALSE),"")</f>
        <v>3</v>
      </c>
      <c r="E19" s="7">
        <f>IFERROR(AVERAGEIFS(Note[Moyenne],Note[Matricule de l''eleve],Bulletin!$B$8,Note[Matiere],Bulletin!A19),"")</f>
        <v>13.5</v>
      </c>
      <c r="F19" s="7">
        <f>IFERROR(AVERAGEIF(Note[Matiere],Bulletin!A19,Note[Moyenne]),"")</f>
        <v>12.5</v>
      </c>
      <c r="G19" s="7">
        <f t="shared" si="0"/>
        <v>40.5</v>
      </c>
      <c r="H19" s="7">
        <f t="shared" si="1"/>
        <v>37.5</v>
      </c>
      <c r="I19" s="38" t="str">
        <f t="shared" si="2"/>
        <v>EN COURS D'ACQUISITION</v>
      </c>
      <c r="J19" s="40"/>
      <c r="K19" s="41"/>
    </row>
    <row r="20" spans="1:11" x14ac:dyDescent="0.25">
      <c r="A20" s="5" t="s">
        <v>22</v>
      </c>
      <c r="B20" s="7">
        <f>IFERROR(VLOOKUP(A20,Matieres[],3,FALSE),"")</f>
        <v>2</v>
      </c>
      <c r="C20" s="7">
        <f>IF(A20="","",IFERROR(COUNTIFS(notes!A:A,Bulletin!$B$8,notes!C:C,Bulletin!A20),""))</f>
        <v>1</v>
      </c>
      <c r="D20" s="7">
        <f>IFERROR(VLOOKUP(A20,Matieres[],2,FALSE),"")</f>
        <v>2</v>
      </c>
      <c r="E20" s="7">
        <f>IFERROR(AVERAGEIFS(Note[Moyenne],Note[Matricule de l''eleve],Bulletin!$B$8,Note[Matiere],Bulletin!A20),"")</f>
        <v>13</v>
      </c>
      <c r="F20" s="7">
        <f>IFERROR(AVERAGEIF(Note[Matiere],Bulletin!A20,Note[Moyenne]),"")</f>
        <v>15.25</v>
      </c>
      <c r="G20" s="7">
        <f t="shared" si="0"/>
        <v>26</v>
      </c>
      <c r="H20" s="7">
        <f t="shared" si="1"/>
        <v>30.5</v>
      </c>
      <c r="I20" s="38" t="str">
        <f t="shared" si="2"/>
        <v>EN COURS D'ACQUISITION</v>
      </c>
      <c r="J20" s="40"/>
      <c r="K20" s="41"/>
    </row>
    <row r="21" spans="1:11" x14ac:dyDescent="0.25">
      <c r="A21" s="5" t="s">
        <v>23</v>
      </c>
      <c r="B21" s="7">
        <f>IFERROR(VLOOKUP(A21,Matieres[],3,FALSE),"")</f>
        <v>2</v>
      </c>
      <c r="C21" s="7">
        <f>IF(A21="","",IFERROR(COUNTIFS(notes!A:A,Bulletin!$B$8,notes!C:C,Bulletin!A21),""))</f>
        <v>1</v>
      </c>
      <c r="D21" s="7">
        <f>IFERROR(VLOOKUP(A21,Matieres[],2,FALSE),"")</f>
        <v>3</v>
      </c>
      <c r="E21" s="7">
        <f>IFERROR(AVERAGEIFS(Note[Moyenne],Note[Matricule de l''eleve],Bulletin!$B$8,Note[Matiere],Bulletin!A21),"")</f>
        <v>10</v>
      </c>
      <c r="F21" s="7">
        <f>IFERROR(AVERAGEIF(Note[Matiere],Bulletin!A21,Note[Moyenne]),"")</f>
        <v>10.75</v>
      </c>
      <c r="G21" s="7">
        <f t="shared" si="0"/>
        <v>30</v>
      </c>
      <c r="H21" s="7">
        <f t="shared" si="1"/>
        <v>32.25</v>
      </c>
      <c r="I21" s="38" t="str">
        <f t="shared" si="2"/>
        <v>EN COURS D'ACQUISITION</v>
      </c>
      <c r="J21" s="40"/>
      <c r="K21" s="41"/>
    </row>
    <row r="22" spans="1:11" x14ac:dyDescent="0.25">
      <c r="A22" s="5" t="s">
        <v>24</v>
      </c>
      <c r="B22" s="7">
        <f>IFERROR(VLOOKUP(A22,Matieres[],3,FALSE),"")</f>
        <v>2</v>
      </c>
      <c r="C22" s="7">
        <f>IF(A22="","",IFERROR(COUNTIFS(notes!A:A,Bulletin!$B$8,notes!C:C,Bulletin!A22),""))</f>
        <v>1</v>
      </c>
      <c r="D22" s="7">
        <f>IFERROR(VLOOKUP(A22,Matieres[],2,FALSE),"")</f>
        <v>2</v>
      </c>
      <c r="E22" s="7">
        <f>IFERROR(AVERAGEIFS(Note[Moyenne],Note[Matricule de l''eleve],Bulletin!$B$8,Note[Matiere],Bulletin!A22),"")</f>
        <v>11.5</v>
      </c>
      <c r="F22" s="7">
        <f>IFERROR(AVERAGEIF(Note[Matiere],Bulletin!A22,Note[Moyenne]),"")</f>
        <v>11.75</v>
      </c>
      <c r="G22" s="7">
        <f t="shared" si="0"/>
        <v>23</v>
      </c>
      <c r="H22" s="7">
        <f t="shared" si="1"/>
        <v>23.5</v>
      </c>
      <c r="I22" s="38" t="str">
        <f t="shared" si="2"/>
        <v>EN COURS D'ACQUISITION</v>
      </c>
      <c r="J22" s="40"/>
      <c r="K22" s="41"/>
    </row>
    <row r="23" spans="1:11" x14ac:dyDescent="0.25">
      <c r="A23" s="5" t="s">
        <v>25</v>
      </c>
      <c r="B23" s="7">
        <f>IFERROR(VLOOKUP(A23,Matieres[],3,FALSE),"")</f>
        <v>1</v>
      </c>
      <c r="C23" s="7">
        <f>IF(A23="","",IFERROR(COUNTIFS(notes!A:A,Bulletin!$B$8,notes!C:C,Bulletin!A23),""))</f>
        <v>1</v>
      </c>
      <c r="D23" s="7">
        <f>IFERROR(VLOOKUP(A23,Matieres[],2,FALSE),"")</f>
        <v>2</v>
      </c>
      <c r="E23" s="7">
        <f>IFERROR(AVERAGEIFS(Note[Moyenne],Note[Matricule de l''eleve],Bulletin!$B$8,Note[Matiere],Bulletin!A23),"")</f>
        <v>16</v>
      </c>
      <c r="F23" s="7">
        <f>IFERROR(AVERAGEIF(Note[Matiere],Bulletin!A23,Note[Moyenne]),"")</f>
        <v>16.25</v>
      </c>
      <c r="G23" s="7">
        <f t="shared" si="0"/>
        <v>32</v>
      </c>
      <c r="H23" s="7">
        <f t="shared" si="1"/>
        <v>32.5</v>
      </c>
      <c r="I23" s="38" t="str">
        <f t="shared" si="2"/>
        <v>ACQUIS</v>
      </c>
      <c r="J23" s="40"/>
      <c r="K23" s="41"/>
    </row>
    <row r="24" spans="1:11" x14ac:dyDescent="0.25">
      <c r="A24" s="5" t="s">
        <v>26</v>
      </c>
      <c r="B24" s="7">
        <f>IFERROR(VLOOKUP(A24,Matieres[],3,FALSE),"")</f>
        <v>1</v>
      </c>
      <c r="C24" s="7">
        <f>IF(A24="","",IFERROR(COUNTIFS(notes!A:A,Bulletin!$B$8,notes!C:C,Bulletin!A24),""))</f>
        <v>1</v>
      </c>
      <c r="D24" s="7">
        <f>IFERROR(VLOOKUP(A24,Matieres[],2,FALSE),"")</f>
        <v>2</v>
      </c>
      <c r="E24" s="7">
        <f>IFERROR(AVERAGEIFS(Note[Moyenne],Note[Matricule de l''eleve],Bulletin!$B$8,Note[Matiere],Bulletin!A24),"")</f>
        <v>10.5</v>
      </c>
      <c r="F24" s="7">
        <f>IFERROR(AVERAGEIF(Note[Matiere],Bulletin!A24,Note[Moyenne]),"")</f>
        <v>9.75</v>
      </c>
      <c r="G24" s="7">
        <f t="shared" si="0"/>
        <v>21</v>
      </c>
      <c r="H24" s="7">
        <f t="shared" si="1"/>
        <v>19.5</v>
      </c>
      <c r="I24" s="38" t="str">
        <f t="shared" si="2"/>
        <v>EN COURS D'ACQUISITION</v>
      </c>
      <c r="J24" s="40"/>
      <c r="K24" s="41"/>
    </row>
    <row r="25" spans="1:11" x14ac:dyDescent="0.25">
      <c r="A25" s="5" t="s">
        <v>27</v>
      </c>
      <c r="B25" s="7">
        <f>IFERROR(VLOOKUP(A25,Matieres[],3,FALSE),"")</f>
        <v>1</v>
      </c>
      <c r="C25" s="7">
        <f>IF(A25="","",IFERROR(COUNTIFS(notes!A:A,Bulletin!$B$8,notes!C:C,Bulletin!A25),""))</f>
        <v>1</v>
      </c>
      <c r="D25" s="7">
        <f>IFERROR(VLOOKUP(A25,Matieres[],2,FALSE),"")</f>
        <v>2</v>
      </c>
      <c r="E25" s="7">
        <f>IFERROR(AVERAGEIFS(Note[Moyenne],Note[Matricule de l''eleve],Bulletin!$B$8,Note[Matiere],Bulletin!A25),"")</f>
        <v>8</v>
      </c>
      <c r="F25" s="7">
        <f>IFERROR(AVERAGEIF(Note[Matiere],Bulletin!A25,Note[Moyenne]),"")</f>
        <v>11.25</v>
      </c>
      <c r="G25" s="7">
        <f t="shared" si="0"/>
        <v>16</v>
      </c>
      <c r="H25" s="7">
        <f t="shared" si="1"/>
        <v>22.5</v>
      </c>
      <c r="I25" s="38" t="str">
        <f t="shared" si="2"/>
        <v>NON ACQUIS</v>
      </c>
      <c r="J25" s="40"/>
      <c r="K25" s="41"/>
    </row>
    <row r="26" spans="1:11" x14ac:dyDescent="0.25">
      <c r="A26" s="5" t="s">
        <v>28</v>
      </c>
      <c r="B26" s="7">
        <f>IFERROR(VLOOKUP(A26,Matieres[],3,FALSE),"")</f>
        <v>1</v>
      </c>
      <c r="C26" s="7">
        <f>IF(A26="","",IFERROR(COUNTIFS(notes!A:A,Bulletin!$B$8,notes!C:C,Bulletin!A26),""))</f>
        <v>1</v>
      </c>
      <c r="D26" s="7">
        <f>IFERROR(VLOOKUP(A26,Matieres[],2,FALSE),"")</f>
        <v>2</v>
      </c>
      <c r="E26" s="7">
        <f>IFERROR(AVERAGEIFS(Note[Moyenne],Note[Matricule de l''eleve],Bulletin!$B$8,Note[Matiere],Bulletin!A26),"")</f>
        <v>9.5</v>
      </c>
      <c r="F26" s="7">
        <f>IFERROR(AVERAGEIF(Note[Matiere],Bulletin!A26,Note[Moyenne]),"")</f>
        <v>8.75</v>
      </c>
      <c r="G26" s="7">
        <f t="shared" si="0"/>
        <v>19</v>
      </c>
      <c r="H26" s="7">
        <f t="shared" si="1"/>
        <v>17.5</v>
      </c>
      <c r="I26" s="38" t="str">
        <f t="shared" si="2"/>
        <v>NON ACQUIS</v>
      </c>
      <c r="J26" s="40"/>
      <c r="K26" s="41"/>
    </row>
    <row r="27" spans="1:11" x14ac:dyDescent="0.25">
      <c r="A27" s="5" t="s">
        <v>29</v>
      </c>
      <c r="B27" s="7">
        <f>IFERROR(VLOOKUP(A27,Matieres[],3,FALSE),"")</f>
        <v>1</v>
      </c>
      <c r="C27" s="7">
        <f>IF(A27="","",IFERROR(COUNTIFS(notes!A:A,Bulletin!$B$8,notes!C:C,Bulletin!A27),""))</f>
        <v>1</v>
      </c>
      <c r="D27" s="7">
        <f>IFERROR(VLOOKUP(A27,Matieres[],2,FALSE),"")</f>
        <v>2</v>
      </c>
      <c r="E27" s="7">
        <f>IFERROR(AVERAGEIFS(Note[Moyenne],Note[Matricule de l''eleve],Bulletin!$B$8,Note[Matiere],Bulletin!A27),"")</f>
        <v>16</v>
      </c>
      <c r="F27" s="7">
        <f>IFERROR(AVERAGEIF(Note[Matiere],Bulletin!A27,Note[Moyenne]),"")</f>
        <v>16</v>
      </c>
      <c r="G27" s="7">
        <f t="shared" si="0"/>
        <v>32</v>
      </c>
      <c r="H27" s="7">
        <f t="shared" si="1"/>
        <v>32</v>
      </c>
      <c r="I27" s="38" t="str">
        <f t="shared" si="2"/>
        <v>ACQUIS</v>
      </c>
      <c r="J27" s="40"/>
      <c r="K27" s="41"/>
    </row>
    <row r="28" spans="1:11" x14ac:dyDescent="0.25">
      <c r="A28" s="5" t="s">
        <v>30</v>
      </c>
      <c r="B28" s="7">
        <f>IFERROR(VLOOKUP(A28,Matieres[],3,FALSE),"")</f>
        <v>1</v>
      </c>
      <c r="C28" s="7">
        <f>IF(A28="","",IFERROR(COUNTIFS(notes!A:A,Bulletin!$B$8,notes!C:C,Bulletin!A28),""))</f>
        <v>1</v>
      </c>
      <c r="D28" s="7">
        <f>IFERROR(VLOOKUP(A28,Matieres[],2,FALSE),"")</f>
        <v>2</v>
      </c>
      <c r="E28" s="7">
        <f>IFERROR(AVERAGEIFS(Note[Moyenne],Note[Matricule de l''eleve],Bulletin!$B$8,Note[Matiere],Bulletin!A28),"")</f>
        <v>19.5</v>
      </c>
      <c r="F28" s="7">
        <f>IFERROR(AVERAGEIF(Note[Matiere],Bulletin!A28,Note[Moyenne]),"")</f>
        <v>16</v>
      </c>
      <c r="G28" s="7">
        <f t="shared" si="0"/>
        <v>39</v>
      </c>
      <c r="H28" s="7">
        <f t="shared" si="1"/>
        <v>32</v>
      </c>
      <c r="I28" s="38" t="str">
        <f t="shared" si="2"/>
        <v>ACQUIS</v>
      </c>
      <c r="J28" s="40"/>
      <c r="K28" s="41"/>
    </row>
    <row r="29" spans="1:11" x14ac:dyDescent="0.25">
      <c r="A29" s="5" t="s">
        <v>31</v>
      </c>
      <c r="B29" s="7">
        <f>IFERROR(VLOOKUP(A29,Matieres[],3,FALSE),"")</f>
        <v>1</v>
      </c>
      <c r="C29" s="7">
        <f>IF(A29="","",IFERROR(COUNTIFS(notes!A:A,Bulletin!$B$8,notes!C:C,Bulletin!A29),""))</f>
        <v>1</v>
      </c>
      <c r="D29" s="7">
        <f>IFERROR(VLOOKUP(A29,Matieres[],2,FALSE),"")</f>
        <v>3</v>
      </c>
      <c r="E29" s="7">
        <f>IFERROR(AVERAGEIFS(Note[Moyenne],Note[Matricule de l''eleve],Bulletin!$B$8,Note[Matiere],Bulletin!A29),"")</f>
        <v>13.5</v>
      </c>
      <c r="F29" s="7">
        <f>IFERROR(AVERAGEIF(Note[Matiere],Bulletin!A29,Note[Moyenne]),"")</f>
        <v>13.75</v>
      </c>
      <c r="G29" s="7">
        <f t="shared" si="0"/>
        <v>40.5</v>
      </c>
      <c r="H29" s="7">
        <f t="shared" si="1"/>
        <v>41.25</v>
      </c>
      <c r="I29" s="38" t="str">
        <f t="shared" si="2"/>
        <v>EN COURS D'ACQUISITION</v>
      </c>
      <c r="J29" s="40"/>
      <c r="K29" s="41"/>
    </row>
    <row r="30" spans="1:11" x14ac:dyDescent="0.25">
      <c r="A30" s="5" t="s">
        <v>32</v>
      </c>
      <c r="B30" s="7">
        <f>IFERROR(VLOOKUP(A30,Matieres[],3,FALSE),"")</f>
        <v>1</v>
      </c>
      <c r="C30" s="7">
        <f>IF(A30="","",IFERROR(COUNTIFS(notes!A:A,Bulletin!$B$8,notes!C:C,Bulletin!A30),""))</f>
        <v>1</v>
      </c>
      <c r="D30" s="7">
        <f>IFERROR(VLOOKUP(A30,Matieres[],2,FALSE),"")</f>
        <v>2</v>
      </c>
      <c r="E30" s="7">
        <f>IFERROR(AVERAGEIFS(Note[Moyenne],Note[Matricule de l''eleve],Bulletin!$B$8,Note[Matiere],Bulletin!A30),"")</f>
        <v>15.5</v>
      </c>
      <c r="F30" s="7">
        <f>IFERROR(AVERAGEIF(Note[Matiere],Bulletin!A30,Note[Moyenne]),"")</f>
        <v>13.75</v>
      </c>
      <c r="G30" s="7">
        <f t="shared" si="0"/>
        <v>31</v>
      </c>
      <c r="H30" s="7">
        <f t="shared" si="1"/>
        <v>27.5</v>
      </c>
      <c r="I30" s="38" t="str">
        <f t="shared" si="2"/>
        <v>EN COURS D'ACQUISITION</v>
      </c>
      <c r="J30" s="40"/>
      <c r="K30" s="41"/>
    </row>
    <row r="31" spans="1:11" x14ac:dyDescent="0.25">
      <c r="A31" s="5" t="s">
        <v>33</v>
      </c>
      <c r="B31" s="7">
        <f>IFERROR(VLOOKUP(A31,Matieres[],3,FALSE),"")</f>
        <v>1</v>
      </c>
      <c r="C31" s="7">
        <f>IF(A31="","",IFERROR(COUNTIFS(notes!A:A,Bulletin!$B$8,notes!C:C,Bulletin!A31),""))</f>
        <v>1</v>
      </c>
      <c r="D31" s="7">
        <f>IFERROR(VLOOKUP(A31,Matieres[],2,FALSE),"")</f>
        <v>2</v>
      </c>
      <c r="E31" s="7">
        <f>IFERROR(AVERAGEIFS(Note[Moyenne],Note[Matricule de l''eleve],Bulletin!$B$8,Note[Matiere],Bulletin!A31),"")</f>
        <v>15.5</v>
      </c>
      <c r="F31" s="7">
        <f>IFERROR(AVERAGEIF(Note[Matiere],Bulletin!A31,Note[Moyenne]),"")</f>
        <v>13.25</v>
      </c>
      <c r="G31" s="7">
        <f t="shared" si="0"/>
        <v>31</v>
      </c>
      <c r="H31" s="7">
        <f t="shared" si="1"/>
        <v>26.5</v>
      </c>
      <c r="I31" s="38" t="str">
        <f t="shared" si="2"/>
        <v>EN COURS D'ACQUISITION</v>
      </c>
      <c r="J31" s="40"/>
      <c r="K31" s="41"/>
    </row>
    <row r="32" spans="1:11" x14ac:dyDescent="0.25">
      <c r="A32" s="5" t="s">
        <v>34</v>
      </c>
      <c r="B32" s="7">
        <f>IFERROR(VLOOKUP(A32,Matieres[],3,FALSE),"")</f>
        <v>1</v>
      </c>
      <c r="C32" s="7">
        <f>IF(A32="","",IFERROR(COUNTIFS(notes!A:A,Bulletin!$B$8,notes!C:C,Bulletin!A32),""))</f>
        <v>1</v>
      </c>
      <c r="D32" s="7">
        <f>IFERROR(VLOOKUP(A32,Matieres[],2,FALSE),"")</f>
        <v>2</v>
      </c>
      <c r="E32" s="7">
        <f>IFERROR(AVERAGEIFS(Note[Moyenne],Note[Matricule de l''eleve],Bulletin!$B$8,Note[Matiere],Bulletin!A32),"")</f>
        <v>12.5</v>
      </c>
      <c r="F32" s="7">
        <f>IFERROR(AVERAGEIF(Note[Matiere],Bulletin!A32,Note[Moyenne]),"")</f>
        <v>9.5</v>
      </c>
      <c r="G32" s="7">
        <f t="shared" si="0"/>
        <v>25</v>
      </c>
      <c r="H32" s="7">
        <f t="shared" si="1"/>
        <v>19</v>
      </c>
      <c r="I32" s="38" t="str">
        <f t="shared" si="2"/>
        <v>EN COURS D'ACQUISITION</v>
      </c>
      <c r="J32" s="40"/>
      <c r="K32" s="41"/>
    </row>
    <row r="33" spans="1:11" x14ac:dyDescent="0.25">
      <c r="A33" s="5" t="s">
        <v>45</v>
      </c>
      <c r="B33" s="7">
        <f>SUM(B14:B32)</f>
        <v>27</v>
      </c>
      <c r="C33" s="7">
        <f>SUM(C14:C32)</f>
        <v>18</v>
      </c>
      <c r="D33" s="7">
        <f>SUM(D14:D32)</f>
        <v>44</v>
      </c>
      <c r="E33" s="7"/>
      <c r="F33" s="7"/>
      <c r="G33" s="7">
        <f>SUM(G14:G32)</f>
        <v>554.5</v>
      </c>
      <c r="H33" s="7">
        <f>SUM(H14:H32)</f>
        <v>551.81818181818176</v>
      </c>
      <c r="I33" s="38"/>
      <c r="J33" s="40"/>
      <c r="K33" s="41"/>
    </row>
    <row r="34" spans="1:11" x14ac:dyDescent="0.25">
      <c r="A34" s="42" t="s">
        <v>53</v>
      </c>
      <c r="B34" s="39"/>
      <c r="C34" s="38" t="s">
        <v>46</v>
      </c>
      <c r="D34" s="39"/>
      <c r="E34" s="38" t="s">
        <v>47</v>
      </c>
      <c r="F34" s="40"/>
      <c r="G34" s="39"/>
      <c r="H34" s="8" t="s">
        <v>48</v>
      </c>
      <c r="I34" s="7" t="s">
        <v>49</v>
      </c>
      <c r="J34" s="38" t="s">
        <v>50</v>
      </c>
      <c r="K34" s="41"/>
    </row>
    <row r="35" spans="1:11" ht="18.75" customHeight="1" x14ac:dyDescent="0.25">
      <c r="A35" s="5" t="s">
        <v>54</v>
      </c>
      <c r="B35" s="8" t="s">
        <v>55</v>
      </c>
      <c r="C35" s="44">
        <f>H33/D33</f>
        <v>12.541322314049586</v>
      </c>
      <c r="D35" s="46"/>
      <c r="E35" s="44">
        <f>G33/D33</f>
        <v>12.602272727272727</v>
      </c>
      <c r="F35" s="45"/>
      <c r="G35" s="46"/>
      <c r="H35" s="49" t="str">
        <f>IFERROR(IF(E35="","",IF(E35&lt;10,"Mauvais travail,doit faire beaucoup d'efforts",IF(E35&lt;15,"Bon travail,doit faire des efforts","Bon travail doit garder le meme rhyme"))),"")</f>
        <v>Bon travail,doit faire des efforts</v>
      </c>
      <c r="I35" s="51" t="str">
        <f>IFERROR(IF(E35="","",IF(E35&lt;6,"MEDIOCRE",IF(E35&lt;10,"FAIBLE", IF(E35&lt;12,"PASSABLE",IF(E35&lt;14,"ASSEZ BIEN",IF(E35&lt;16,"BIEN",IF(E35&lt;19,"TRES BIEN","EXCELLENT"))))))),"")</f>
        <v>ASSEZ BIEN</v>
      </c>
      <c r="J35" s="7" t="s">
        <v>51</v>
      </c>
      <c r="K35" s="9" t="s">
        <v>52</v>
      </c>
    </row>
    <row r="36" spans="1:11" ht="19.5" customHeight="1" thickBot="1" x14ac:dyDescent="0.3">
      <c r="A36" s="6"/>
      <c r="B36" s="10"/>
      <c r="C36" s="47"/>
      <c r="D36" s="48"/>
      <c r="E36" s="47"/>
      <c r="F36" s="43"/>
      <c r="G36" s="48"/>
      <c r="H36" s="50"/>
      <c r="I36" s="52"/>
      <c r="J36" s="11">
        <v>100</v>
      </c>
      <c r="K36" s="12" t="str">
        <f>IFERROR(IF(J36="","",IF(J36=0,"BONNE CONDUITE",IF(J36&lt;17,"AVERTISSEMENT",IF(J36&lt;50,"BLAME","EXCLUSION DEFINITIVE")))),"")</f>
        <v>EXCLUSION DEFINITIVE</v>
      </c>
    </row>
  </sheetData>
  <mergeCells count="40">
    <mergeCell ref="A34:B34"/>
    <mergeCell ref="A7:E7"/>
    <mergeCell ref="E35:G36"/>
    <mergeCell ref="H35:H36"/>
    <mergeCell ref="I35:I36"/>
    <mergeCell ref="C35:D36"/>
    <mergeCell ref="I31:K31"/>
    <mergeCell ref="I32:K32"/>
    <mergeCell ref="I33:K33"/>
    <mergeCell ref="J34:K34"/>
    <mergeCell ref="I26:K26"/>
    <mergeCell ref="I27:K27"/>
    <mergeCell ref="I28:K28"/>
    <mergeCell ref="I29:K29"/>
    <mergeCell ref="I30:K30"/>
    <mergeCell ref="G12:H12"/>
    <mergeCell ref="C34:D34"/>
    <mergeCell ref="E34:G34"/>
    <mergeCell ref="I14:K14"/>
    <mergeCell ref="I15:K15"/>
    <mergeCell ref="I16:K16"/>
    <mergeCell ref="I17:K17"/>
    <mergeCell ref="I18:K18"/>
    <mergeCell ref="I19:K19"/>
    <mergeCell ref="I20:K20"/>
    <mergeCell ref="I21:K21"/>
    <mergeCell ref="I22:K22"/>
    <mergeCell ref="I23:K23"/>
    <mergeCell ref="I24:K24"/>
    <mergeCell ref="I25:K25"/>
    <mergeCell ref="A12:A13"/>
    <mergeCell ref="B12:B13"/>
    <mergeCell ref="C12:C13"/>
    <mergeCell ref="D12:F12"/>
    <mergeCell ref="I12:K13"/>
    <mergeCell ref="A1:E3"/>
    <mergeCell ref="A4:E4"/>
    <mergeCell ref="B8:E8"/>
    <mergeCell ref="B9:E9"/>
    <mergeCell ref="B10:E10"/>
  </mergeCells>
  <conditionalFormatting sqref="I14:K32">
    <cfRule type="containsText" dxfId="9" priority="3" operator="containsText" text="NA">
      <formula>NOT(ISERROR(SEARCH("NA",I14)))</formula>
    </cfRule>
    <cfRule type="containsText" dxfId="8" priority="4" operator="containsText" text="ECA">
      <formula>NOT(ISERROR(SEARCH("ECA",I14)))</formula>
    </cfRule>
  </conditionalFormatting>
  <conditionalFormatting sqref="I14:K32">
    <cfRule type="containsText" dxfId="7" priority="2" operator="containsText" text="EN COURS D'ACQUISITION">
      <formula>NOT(ISERROR(SEARCH("EN COURS D'ACQUISITION",I14)))</formula>
    </cfRule>
  </conditionalFormatting>
  <conditionalFormatting sqref="I24:K32">
    <cfRule type="containsText" dxfId="6" priority="1" operator="containsText" text="NON ACQUIS">
      <formula>NOT(ISERROR(SEARCH("NON ACQUIS",I24)))</formula>
    </cfRule>
  </conditionalFormatting>
  <pageMargins left="0.7" right="0.7" top="0.75" bottom="0.75" header="0.3" footer="0.3"/>
  <pageSetup paperSize="9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Imprimer">
                <anchor moveWithCells="1">
                  <from>
                    <xdr:col>12</xdr:col>
                    <xdr:colOff>152400</xdr:colOff>
                    <xdr:row>8</xdr:row>
                    <xdr:rowOff>76200</xdr:rowOff>
                  </from>
                  <to>
                    <xdr:col>14</xdr:col>
                    <xdr:colOff>190500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Bouton8_Cliquer">
                <anchor moveWithCells="1" sizeWithCells="1">
                  <from>
                    <xdr:col>12</xdr:col>
                    <xdr:colOff>381000</xdr:colOff>
                    <xdr:row>3</xdr:row>
                    <xdr:rowOff>114300</xdr:rowOff>
                  </from>
                  <to>
                    <xdr:col>14</xdr:col>
                    <xdr:colOff>381000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Eleve!$A$2:$A$10000</xm:f>
          </x14:formula1>
          <xm:sqref>B8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 tint="0.39997558519241921"/>
  </sheetPr>
  <dimension ref="A1:D17"/>
  <sheetViews>
    <sheetView showGridLines="0" workbookViewId="0">
      <selection activeCell="A15" sqref="A15:D17"/>
    </sheetView>
  </sheetViews>
  <sheetFormatPr baseColWidth="10" defaultRowHeight="15" x14ac:dyDescent="0.25"/>
  <cols>
    <col min="1" max="1" width="18.5703125" customWidth="1"/>
    <col min="2" max="2" width="19.42578125" customWidth="1"/>
    <col min="4" max="4" width="23.7109375" customWidth="1"/>
  </cols>
  <sheetData>
    <row r="1" spans="1:4" x14ac:dyDescent="0.25">
      <c r="A1" t="s">
        <v>35</v>
      </c>
      <c r="B1" t="s">
        <v>15</v>
      </c>
      <c r="C1" t="s">
        <v>2</v>
      </c>
      <c r="D1" t="s">
        <v>90</v>
      </c>
    </row>
    <row r="2" spans="1:4" x14ac:dyDescent="0.25">
      <c r="A2" t="s">
        <v>58</v>
      </c>
      <c r="B2" t="s">
        <v>59</v>
      </c>
      <c r="C2" t="s">
        <v>17</v>
      </c>
      <c r="D2">
        <v>12.5</v>
      </c>
    </row>
    <row r="3" spans="1:4" x14ac:dyDescent="0.25">
      <c r="A3" t="s">
        <v>60</v>
      </c>
      <c r="B3" t="s">
        <v>61</v>
      </c>
      <c r="C3" t="s">
        <v>17</v>
      </c>
      <c r="D3">
        <v>13</v>
      </c>
    </row>
    <row r="4" spans="1:4" x14ac:dyDescent="0.25">
      <c r="A4" t="s">
        <v>62</v>
      </c>
      <c r="B4" t="s">
        <v>63</v>
      </c>
      <c r="C4" t="s">
        <v>17</v>
      </c>
      <c r="D4">
        <v>8</v>
      </c>
    </row>
    <row r="5" spans="1:4" x14ac:dyDescent="0.25">
      <c r="A5" t="s">
        <v>64</v>
      </c>
      <c r="B5" t="s">
        <v>65</v>
      </c>
      <c r="C5" t="s">
        <v>17</v>
      </c>
      <c r="D5">
        <v>7</v>
      </c>
    </row>
    <row r="6" spans="1:4" x14ac:dyDescent="0.25">
      <c r="A6" t="s">
        <v>66</v>
      </c>
      <c r="B6" t="s">
        <v>67</v>
      </c>
      <c r="C6" t="s">
        <v>17</v>
      </c>
      <c r="D6">
        <v>10</v>
      </c>
    </row>
    <row r="7" spans="1:4" x14ac:dyDescent="0.25">
      <c r="A7" t="s">
        <v>68</v>
      </c>
      <c r="B7" t="s">
        <v>69</v>
      </c>
      <c r="C7" t="s">
        <v>17</v>
      </c>
      <c r="D7">
        <v>18</v>
      </c>
    </row>
    <row r="8" spans="1:4" x14ac:dyDescent="0.25">
      <c r="A8" t="s">
        <v>70</v>
      </c>
      <c r="B8" t="s">
        <v>71</v>
      </c>
      <c r="C8" t="s">
        <v>17</v>
      </c>
      <c r="D8">
        <v>15</v>
      </c>
    </row>
    <row r="9" spans="1:4" x14ac:dyDescent="0.25">
      <c r="A9" t="s">
        <v>82</v>
      </c>
      <c r="B9" t="s">
        <v>83</v>
      </c>
      <c r="C9" t="s">
        <v>17</v>
      </c>
      <c r="D9">
        <v>6</v>
      </c>
    </row>
    <row r="10" spans="1:4" x14ac:dyDescent="0.25">
      <c r="A10" t="s">
        <v>84</v>
      </c>
      <c r="B10" t="s">
        <v>85</v>
      </c>
      <c r="C10" t="s">
        <v>17</v>
      </c>
      <c r="D10">
        <v>14</v>
      </c>
    </row>
    <row r="11" spans="1:4" x14ac:dyDescent="0.25">
      <c r="A11" t="s">
        <v>86</v>
      </c>
      <c r="B11" t="s">
        <v>87</v>
      </c>
      <c r="C11" t="s">
        <v>17</v>
      </c>
      <c r="D11">
        <v>15</v>
      </c>
    </row>
    <row r="12" spans="1:4" x14ac:dyDescent="0.25">
      <c r="A12" t="s">
        <v>88</v>
      </c>
      <c r="B12" t="s">
        <v>89</v>
      </c>
      <c r="C12" t="s">
        <v>17</v>
      </c>
      <c r="D12">
        <v>14</v>
      </c>
    </row>
    <row r="14" spans="1:4" x14ac:dyDescent="0.25">
      <c r="C14">
        <f>MEDIAN(D2:D12)</f>
        <v>13</v>
      </c>
    </row>
    <row r="15" spans="1:4" x14ac:dyDescent="0.25">
      <c r="A15" s="53" t="s">
        <v>116</v>
      </c>
      <c r="B15" s="53"/>
      <c r="C15" s="53"/>
      <c r="D15" s="53"/>
    </row>
    <row r="16" spans="1:4" x14ac:dyDescent="0.25">
      <c r="A16" s="53"/>
      <c r="B16" s="53"/>
      <c r="C16" s="53"/>
      <c r="D16" s="53"/>
    </row>
    <row r="17" spans="1:4" x14ac:dyDescent="0.25">
      <c r="A17" s="53"/>
      <c r="B17" s="53"/>
      <c r="C17" s="53"/>
      <c r="D17" s="53"/>
    </row>
  </sheetData>
  <mergeCells count="1">
    <mergeCell ref="A15:D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9" tint="-0.499984740745262"/>
  </sheetPr>
  <dimension ref="A1:K23"/>
  <sheetViews>
    <sheetView zoomScaleNormal="100" workbookViewId="0">
      <selection activeCell="A4" sqref="A4:E4"/>
    </sheetView>
  </sheetViews>
  <sheetFormatPr baseColWidth="10" defaultRowHeight="15" x14ac:dyDescent="0.25"/>
  <cols>
    <col min="1" max="1" width="28.140625" style="3" customWidth="1"/>
    <col min="2" max="7" width="11.42578125" style="3"/>
    <col min="8" max="8" width="15.7109375" style="3" customWidth="1"/>
    <col min="9" max="9" width="16" style="3" customWidth="1"/>
    <col min="10" max="10" width="15.85546875" style="3" customWidth="1"/>
    <col min="11" max="11" width="27.85546875" style="3" customWidth="1"/>
    <col min="12" max="16384" width="11.42578125" style="3"/>
  </cols>
  <sheetData>
    <row r="1" spans="1:11" x14ac:dyDescent="0.25">
      <c r="A1" s="17" t="s">
        <v>93</v>
      </c>
      <c r="B1" s="17"/>
      <c r="C1" s="17"/>
      <c r="D1" s="17"/>
      <c r="E1" s="17"/>
    </row>
    <row r="2" spans="1:11" x14ac:dyDescent="0.25">
      <c r="A2" s="17"/>
      <c r="B2" s="17"/>
      <c r="C2" s="17"/>
      <c r="D2" s="17"/>
      <c r="E2" s="17"/>
    </row>
    <row r="3" spans="1:11" x14ac:dyDescent="0.25">
      <c r="A3" s="17"/>
      <c r="B3" s="17"/>
      <c r="C3" s="17"/>
      <c r="D3" s="17"/>
      <c r="E3" s="17"/>
    </row>
    <row r="4" spans="1:11" x14ac:dyDescent="0.25">
      <c r="A4" s="54" t="s">
        <v>94</v>
      </c>
      <c r="B4" s="54"/>
      <c r="C4" s="54"/>
      <c r="D4" s="54"/>
      <c r="E4" s="54"/>
    </row>
    <row r="7" spans="1:11" ht="15.75" thickBot="1" x14ac:dyDescent="0.3"/>
    <row r="8" spans="1:11" x14ac:dyDescent="0.25">
      <c r="A8" s="4" t="s">
        <v>0</v>
      </c>
      <c r="B8" s="19" t="s">
        <v>58</v>
      </c>
      <c r="C8" s="19"/>
      <c r="D8" s="19"/>
      <c r="E8" s="20"/>
    </row>
    <row r="9" spans="1:11" x14ac:dyDescent="0.25">
      <c r="A9" s="5" t="s">
        <v>15</v>
      </c>
      <c r="B9" s="21" t="str">
        <f>IFERROR(VLOOKUP(Bulletin2!B8,Eleve[],2,FALSE),"")</f>
        <v>MOUNGO Beti</v>
      </c>
      <c r="C9" s="21"/>
      <c r="D9" s="21"/>
      <c r="E9" s="22"/>
    </row>
    <row r="10" spans="1:11" ht="15.75" thickBot="1" x14ac:dyDescent="0.3">
      <c r="A10" s="6" t="s">
        <v>16</v>
      </c>
      <c r="B10" s="23" t="str">
        <f>IFERROR(VLOOKUP(B8,Eleve[],3,FALSE),"")</f>
        <v>Bachelor1</v>
      </c>
      <c r="C10" s="23"/>
      <c r="D10" s="23"/>
      <c r="E10" s="24"/>
    </row>
    <row r="11" spans="1:11" ht="15.75" thickBot="1" x14ac:dyDescent="0.3"/>
    <row r="12" spans="1:11" x14ac:dyDescent="0.25">
      <c r="A12" s="25" t="s">
        <v>44</v>
      </c>
      <c r="B12" s="27" t="s">
        <v>37</v>
      </c>
      <c r="C12" s="27" t="s">
        <v>38</v>
      </c>
      <c r="D12" s="29" t="s">
        <v>40</v>
      </c>
      <c r="E12" s="30"/>
      <c r="F12" s="31"/>
      <c r="G12" s="29" t="s">
        <v>42</v>
      </c>
      <c r="H12" s="31"/>
      <c r="I12" s="32" t="s">
        <v>43</v>
      </c>
      <c r="J12" s="33"/>
      <c r="K12" s="34"/>
    </row>
    <row r="13" spans="1:11" x14ac:dyDescent="0.25">
      <c r="A13" s="26"/>
      <c r="B13" s="28"/>
      <c r="C13" s="28"/>
      <c r="D13" s="7" t="s">
        <v>39</v>
      </c>
      <c r="E13" s="7" t="s">
        <v>41</v>
      </c>
      <c r="F13" s="7" t="s">
        <v>1</v>
      </c>
      <c r="G13" s="7" t="s">
        <v>41</v>
      </c>
      <c r="H13" s="7" t="s">
        <v>1</v>
      </c>
      <c r="I13" s="35"/>
      <c r="J13" s="36"/>
      <c r="K13" s="37"/>
    </row>
    <row r="14" spans="1:11" x14ac:dyDescent="0.25">
      <c r="A14" s="5" t="s">
        <v>72</v>
      </c>
      <c r="B14" s="7">
        <f>IFERROR(VLOOKUP(A14,Matieres[],3,FALSE),"")</f>
        <v>1</v>
      </c>
      <c r="C14" s="7">
        <f>IF(A14="","",IFERROR(COUNTIFS(notes!A:A,Bulletin2!$B$2,notes!C:C,Bulletin2!A14),""))</f>
        <v>0</v>
      </c>
      <c r="D14" s="7">
        <f>IFERROR(VLOOKUP(A14,Matieres[],2,FALSE),"")</f>
        <v>3</v>
      </c>
      <c r="E14" s="7">
        <f>IFERROR(AVERAGEIFS(Note[Moyenne],Note[Matricule de l''eleve],Bulletin2!$B$8,Note[Matiere],Bulletin2!A14),"")</f>
        <v>11</v>
      </c>
      <c r="F14" s="7">
        <f>IFERROR(AVERAGEIF(Note[Matiere],Bulletin2!A14,Note[Moyenne]),"")</f>
        <v>11</v>
      </c>
      <c r="G14" s="7">
        <f>IFERROR(IF(A14="","",D14*E14),"")</f>
        <v>33</v>
      </c>
      <c r="H14" s="7">
        <f>IFERROR(IF(A14="","",D14*F14),"")</f>
        <v>33</v>
      </c>
      <c r="I14" s="38" t="str">
        <f>IFERROR(IF(E14="","",IF(E14&lt;10,"NA",IF(E14&lt;16,"ECA","A"))),"")</f>
        <v>ECA</v>
      </c>
      <c r="J14" s="40"/>
      <c r="K14" s="41"/>
    </row>
    <row r="15" spans="1:11" x14ac:dyDescent="0.25">
      <c r="A15" s="5" t="s">
        <v>73</v>
      </c>
      <c r="B15" s="7">
        <f>IFERROR(VLOOKUP(A15,Matieres[],3,FALSE),"")</f>
        <v>1</v>
      </c>
      <c r="C15" s="7">
        <f>IF(A15="","",IFERROR(COUNTIFS(notes!A:A,Bulletin2!$B$2,notes!C:C,Bulletin2!A15),""))</f>
        <v>0</v>
      </c>
      <c r="D15" s="7">
        <f>IFERROR(VLOOKUP(A15,Matieres[],2,FALSE),"")</f>
        <v>2</v>
      </c>
      <c r="E15" s="7">
        <f>IFERROR(AVERAGEIFS(Note[Moyenne],Note[Matricule de l''eleve],Bulletin2!$B$8,Note[Matiere],Bulletin2!A15),"")</f>
        <v>13.5</v>
      </c>
      <c r="F15" s="7">
        <f>IFERROR(AVERAGEIF(Note[Matiere],Bulletin2!A15,Note[Moyenne]),"")</f>
        <v>13.5</v>
      </c>
      <c r="G15" s="7">
        <f t="shared" ref="G15:G19" si="0">IFERROR(IF(A15="","",D15*E15),"")</f>
        <v>27</v>
      </c>
      <c r="H15" s="7">
        <f t="shared" ref="H15:H19" si="1">IFERROR(IF(A15="","",D15*F15),"")</f>
        <v>27</v>
      </c>
      <c r="I15" s="38" t="str">
        <f t="shared" ref="I15:I19" si="2">IFERROR(IF(E15="","",IF(E15&lt;10,"NA",IF(E15&lt;16,"ECA","A"))),"")</f>
        <v>ECA</v>
      </c>
      <c r="J15" s="40"/>
      <c r="K15" s="41"/>
    </row>
    <row r="16" spans="1:11" x14ac:dyDescent="0.25">
      <c r="A16" s="5" t="s">
        <v>74</v>
      </c>
      <c r="B16" s="7">
        <f>IFERROR(VLOOKUP(A16,Matieres[],3,FALSE),"")</f>
        <v>1</v>
      </c>
      <c r="C16" s="7">
        <f>IF(A16="","",IFERROR(COUNTIFS(notes!A:A,Bulletin2!$B$2,notes!C:C,Bulletin2!A16),""))</f>
        <v>0</v>
      </c>
      <c r="D16" s="7">
        <f>IFERROR(VLOOKUP(A16,Matieres[],2,FALSE),"")</f>
        <v>2</v>
      </c>
      <c r="E16" s="7">
        <f>IFERROR(AVERAGEIFS(Note[Moyenne],Note[Matricule de l''eleve],Bulletin2!$B$8,Note[Matiere],Bulletin2!A16),"")</f>
        <v>11.5</v>
      </c>
      <c r="F16" s="7">
        <f>IFERROR(AVERAGEIF(Note[Matiere],Bulletin2!A16,Note[Moyenne]),"")</f>
        <v>11.5</v>
      </c>
      <c r="G16" s="7">
        <f t="shared" si="0"/>
        <v>23</v>
      </c>
      <c r="H16" s="7">
        <f t="shared" si="1"/>
        <v>23</v>
      </c>
      <c r="I16" s="38" t="str">
        <f t="shared" si="2"/>
        <v>ECA</v>
      </c>
      <c r="J16" s="40"/>
      <c r="K16" s="41"/>
    </row>
    <row r="17" spans="1:11" x14ac:dyDescent="0.25">
      <c r="A17" s="5" t="s">
        <v>75</v>
      </c>
      <c r="B17" s="7">
        <f>IFERROR(VLOOKUP(A17,Matieres[],3,FALSE),"")</f>
        <v>1</v>
      </c>
      <c r="C17" s="7">
        <f>IF(A17="","",IFERROR(COUNTIFS(notes!A:A,Bulletin2!$B$2,notes!C:C,Bulletin2!A17),""))</f>
        <v>0</v>
      </c>
      <c r="D17" s="7">
        <f>IFERROR(VLOOKUP(A17,Matieres[],2,FALSE),"")</f>
        <v>2</v>
      </c>
      <c r="E17" s="7">
        <f>IFERROR(AVERAGEIFS(Note[Moyenne],Note[Matricule de l''eleve],Bulletin2!$B$8,Note[Matiere],Bulletin2!A17),"")</f>
        <v>8.5</v>
      </c>
      <c r="F17" s="7">
        <f>IFERROR(AVERAGEIF(Note[Matiere],Bulletin2!A17,Note[Moyenne]),"")</f>
        <v>8.5</v>
      </c>
      <c r="G17" s="7">
        <f t="shared" si="0"/>
        <v>17</v>
      </c>
      <c r="H17" s="7">
        <f t="shared" si="1"/>
        <v>17</v>
      </c>
      <c r="I17" s="38" t="str">
        <f t="shared" si="2"/>
        <v>NA</v>
      </c>
      <c r="J17" s="40"/>
      <c r="K17" s="41"/>
    </row>
    <row r="18" spans="1:11" x14ac:dyDescent="0.25">
      <c r="A18" s="5" t="s">
        <v>76</v>
      </c>
      <c r="B18" s="7">
        <f>IFERROR(VLOOKUP(A18,Matieres[],3,FALSE),"")</f>
        <v>1</v>
      </c>
      <c r="C18" s="7">
        <f>IF(A18="","",IFERROR(COUNTIFS(notes!A:A,Bulletin2!$B$2,notes!C:C,Bulletin2!A18),""))</f>
        <v>0</v>
      </c>
      <c r="D18" s="7">
        <f>IFERROR(VLOOKUP(A18,Matieres[],2,FALSE),"")</f>
        <v>2</v>
      </c>
      <c r="E18" s="7">
        <f>IFERROR(AVERAGEIFS(Note[Moyenne],Note[Matricule de l''eleve],Bulletin2!$B$8,Note[Matiere],Bulletin2!A18),"")</f>
        <v>10.5</v>
      </c>
      <c r="F18" s="7">
        <f>IFERROR(AVERAGEIF(Note[Matiere],Bulletin2!A18,Note[Moyenne]),"")</f>
        <v>10.5</v>
      </c>
      <c r="G18" s="7">
        <f t="shared" si="0"/>
        <v>21</v>
      </c>
      <c r="H18" s="7">
        <f t="shared" si="1"/>
        <v>21</v>
      </c>
      <c r="I18" s="38" t="str">
        <f t="shared" si="2"/>
        <v>ECA</v>
      </c>
      <c r="J18" s="40"/>
      <c r="K18" s="41"/>
    </row>
    <row r="19" spans="1:11" x14ac:dyDescent="0.25">
      <c r="A19" s="5" t="s">
        <v>77</v>
      </c>
      <c r="B19" s="7">
        <f>IFERROR(VLOOKUP(A19,Matieres[],3,FALSE),"")</f>
        <v>1</v>
      </c>
      <c r="C19" s="7">
        <f>IF(A19="","",IFERROR(COUNTIFS(notes!A:A,Bulletin2!$B$2,notes!C:C,Bulletin2!A19),""))</f>
        <v>0</v>
      </c>
      <c r="D19" s="7">
        <f>IFERROR(VLOOKUP(A19,Matieres[],2,FALSE),"")</f>
        <v>3</v>
      </c>
      <c r="E19" s="7">
        <f>IFERROR(AVERAGEIFS(Note[Moyenne],Note[Matricule de l''eleve],Bulletin2!$B$8,Note[Matiere],Bulletin2!A19),"")</f>
        <v>11</v>
      </c>
      <c r="F19" s="7">
        <f>IFERROR(AVERAGEIF(Note[Matiere],Bulletin2!A19,Note[Moyenne]),"")</f>
        <v>11</v>
      </c>
      <c r="G19" s="7">
        <f t="shared" si="0"/>
        <v>33</v>
      </c>
      <c r="H19" s="7">
        <f t="shared" si="1"/>
        <v>33</v>
      </c>
      <c r="I19" s="38" t="str">
        <f t="shared" si="2"/>
        <v>ECA</v>
      </c>
      <c r="J19" s="40"/>
      <c r="K19" s="41"/>
    </row>
    <row r="20" spans="1:11" x14ac:dyDescent="0.25">
      <c r="A20" s="5" t="s">
        <v>45</v>
      </c>
      <c r="B20" s="7">
        <f>SUM(B14:B19)</f>
        <v>6</v>
      </c>
      <c r="C20" s="7">
        <f>SUM(C14:C19)</f>
        <v>0</v>
      </c>
      <c r="D20" s="7">
        <f>SUM(D14:D19)</f>
        <v>14</v>
      </c>
      <c r="E20" s="7"/>
      <c r="F20" s="7"/>
      <c r="G20" s="7">
        <f>SUM(G14:G19)</f>
        <v>154</v>
      </c>
      <c r="H20" s="7">
        <f>SUM(H14:H19)</f>
        <v>154</v>
      </c>
      <c r="I20" s="38"/>
      <c r="J20" s="40"/>
      <c r="K20" s="41"/>
    </row>
    <row r="21" spans="1:11" ht="30" x14ac:dyDescent="0.25">
      <c r="A21" s="42" t="s">
        <v>53</v>
      </c>
      <c r="B21" s="39"/>
      <c r="C21" s="38" t="s">
        <v>46</v>
      </c>
      <c r="D21" s="39"/>
      <c r="E21" s="38" t="s">
        <v>47</v>
      </c>
      <c r="F21" s="40"/>
      <c r="G21" s="39"/>
      <c r="H21" s="8" t="s">
        <v>48</v>
      </c>
      <c r="I21" s="7" t="s">
        <v>49</v>
      </c>
      <c r="J21" s="38" t="s">
        <v>50</v>
      </c>
      <c r="K21" s="41"/>
    </row>
    <row r="22" spans="1:11" x14ac:dyDescent="0.25">
      <c r="A22" s="5" t="s">
        <v>54</v>
      </c>
      <c r="B22" s="8" t="s">
        <v>55</v>
      </c>
      <c r="C22" s="44">
        <f>H20/D20</f>
        <v>11</v>
      </c>
      <c r="D22" s="46"/>
      <c r="E22" s="44">
        <f>G20/D20</f>
        <v>11</v>
      </c>
      <c r="F22" s="45"/>
      <c r="G22" s="46"/>
      <c r="H22" s="49" t="str">
        <f>IFERROR(IF(E22="","",IF(Bulletin!E35&gt;Bulletin2!E22,"Travail en baisse !",IF(Bulletin!E35&lt;Bulletin2!E22,"Progression dans le travail !","Travail constant !"))),"")</f>
        <v>Travail en baisse !</v>
      </c>
      <c r="I22" s="51" t="str">
        <f>IFERROR(IF(E22="","",IF(E22&lt;6,"MEDIOCRE",IF(E22&lt;10,"FAIBLE",IF(E22&lt;14,"ASSEZ BIEN",IF(E22&lt;16,"BIEN",IF(E22&lt;19,"TRES BIEN","EXCELLENT")))))),"")</f>
        <v>ASSEZ BIEN</v>
      </c>
      <c r="J22" s="7" t="s">
        <v>51</v>
      </c>
      <c r="K22" s="9" t="s">
        <v>52</v>
      </c>
    </row>
    <row r="23" spans="1:11" ht="15.75" thickBot="1" x14ac:dyDescent="0.3">
      <c r="A23" s="6"/>
      <c r="B23" s="10"/>
      <c r="C23" s="47"/>
      <c r="D23" s="48"/>
      <c r="E23" s="47"/>
      <c r="F23" s="43"/>
      <c r="G23" s="48"/>
      <c r="H23" s="50"/>
      <c r="I23" s="52"/>
      <c r="J23" s="11">
        <v>25</v>
      </c>
      <c r="K23" s="12" t="str">
        <f>IFERROR(IF(J23="","",IF(J23=0,"BONNE CONDUITE",IF(J23&lt;17,"AVERTISSEMENT",IF(J23&lt;50,"BLAME","EXCLUSION DEFINITIVE")))),"")</f>
        <v>BLAME</v>
      </c>
    </row>
  </sheetData>
  <mergeCells count="26">
    <mergeCell ref="I18:K18"/>
    <mergeCell ref="I12:K13"/>
    <mergeCell ref="I14:K14"/>
    <mergeCell ref="I15:K15"/>
    <mergeCell ref="I16:K16"/>
    <mergeCell ref="I17:K17"/>
    <mergeCell ref="A12:A13"/>
    <mergeCell ref="B12:B13"/>
    <mergeCell ref="C12:C13"/>
    <mergeCell ref="D12:F12"/>
    <mergeCell ref="G12:H12"/>
    <mergeCell ref="A21:B21"/>
    <mergeCell ref="C21:D21"/>
    <mergeCell ref="E21:G21"/>
    <mergeCell ref="J21:K21"/>
    <mergeCell ref="I19:K19"/>
    <mergeCell ref="C22:D23"/>
    <mergeCell ref="E22:G23"/>
    <mergeCell ref="H22:H23"/>
    <mergeCell ref="I22:I23"/>
    <mergeCell ref="I20:K20"/>
    <mergeCell ref="A1:E3"/>
    <mergeCell ref="A4:E4"/>
    <mergeCell ref="B8:E8"/>
    <mergeCell ref="B9:E9"/>
    <mergeCell ref="B10:E10"/>
  </mergeCells>
  <conditionalFormatting sqref="I14:K19">
    <cfRule type="containsText" dxfId="5" priority="1" operator="containsText" text="NA">
      <formula>NOT(ISERROR(SEARCH("NA",I14)))</formula>
    </cfRule>
    <cfRule type="containsText" dxfId="4" priority="2" operator="containsText" text="ECA">
      <formula>NOT(ISERROR(SEARCH("ECA",I14)))</formula>
    </cfRule>
  </conditionalFormatting>
  <pageMargins left="0.7" right="0.7" top="0.75" bottom="0.75" header="0.3" footer="0.3"/>
  <pageSetup paperSize="9"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outon1_Cliquer">
                <anchor moveWithCells="1" sizeWithCells="1">
                  <from>
                    <xdr:col>11</xdr:col>
                    <xdr:colOff>142875</xdr:colOff>
                    <xdr:row>7</xdr:row>
                    <xdr:rowOff>66675</xdr:rowOff>
                  </from>
                  <to>
                    <xdr:col>13</xdr:col>
                    <xdr:colOff>114300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Bouton3_Cliquer">
                <anchor moveWithCells="1" sizeWithCells="1">
                  <from>
                    <xdr:col>12</xdr:col>
                    <xdr:colOff>104775</xdr:colOff>
                    <xdr:row>2</xdr:row>
                    <xdr:rowOff>57150</xdr:rowOff>
                  </from>
                  <to>
                    <xdr:col>13</xdr:col>
                    <xdr:colOff>695325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Eleve!$A$2:$A$10000</xm:f>
          </x14:formula1>
          <xm:sqref>B8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K42"/>
  <sheetViews>
    <sheetView tabSelected="1" view="pageLayout" topLeftCell="F1" zoomScaleNormal="100" workbookViewId="0">
      <selection activeCell="M7" sqref="M7"/>
    </sheetView>
  </sheetViews>
  <sheetFormatPr baseColWidth="10" defaultRowHeight="15" x14ac:dyDescent="0.25"/>
  <cols>
    <col min="1" max="1" width="19.28515625" customWidth="1"/>
    <col min="10" max="10" width="16.140625" customWidth="1"/>
    <col min="11" max="11" width="21" customWidth="1"/>
  </cols>
  <sheetData>
    <row r="1" spans="1:11" x14ac:dyDescent="0.25">
      <c r="A1" s="17" t="s">
        <v>93</v>
      </c>
      <c r="B1" s="17"/>
      <c r="C1" s="17"/>
      <c r="D1" s="17"/>
      <c r="E1" s="17"/>
    </row>
    <row r="2" spans="1:11" x14ac:dyDescent="0.25">
      <c r="A2" s="17"/>
      <c r="B2" s="17"/>
      <c r="C2" s="17"/>
      <c r="D2" s="17"/>
      <c r="E2" s="17"/>
    </row>
    <row r="3" spans="1:11" x14ac:dyDescent="0.25">
      <c r="A3" s="17"/>
      <c r="B3" s="17"/>
      <c r="C3" s="17"/>
      <c r="D3" s="17"/>
      <c r="E3" s="17"/>
    </row>
    <row r="4" spans="1:11" x14ac:dyDescent="0.25">
      <c r="A4" s="54" t="s">
        <v>117</v>
      </c>
      <c r="B4" s="54"/>
      <c r="C4" s="54"/>
      <c r="D4" s="54"/>
      <c r="E4" s="54"/>
    </row>
    <row r="7" spans="1:11" ht="15.75" thickBot="1" x14ac:dyDescent="0.3">
      <c r="A7" s="43" t="s">
        <v>56</v>
      </c>
      <c r="B7" s="43"/>
      <c r="C7" s="43"/>
      <c r="D7" s="43"/>
      <c r="E7" s="43"/>
      <c r="F7" s="3"/>
      <c r="G7" s="3"/>
      <c r="H7" s="3"/>
      <c r="I7" s="3"/>
      <c r="J7" s="3"/>
      <c r="K7" s="3"/>
    </row>
    <row r="8" spans="1:11" x14ac:dyDescent="0.25">
      <c r="A8" s="4" t="s">
        <v>0</v>
      </c>
      <c r="B8" s="19" t="s">
        <v>60</v>
      </c>
      <c r="C8" s="19"/>
      <c r="D8" s="19"/>
      <c r="E8" s="20"/>
      <c r="F8" s="3"/>
      <c r="G8" s="3"/>
      <c r="H8" s="3"/>
      <c r="I8" s="3"/>
      <c r="J8" s="3"/>
      <c r="K8" s="3"/>
    </row>
    <row r="9" spans="1:11" x14ac:dyDescent="0.25">
      <c r="A9" s="5" t="s">
        <v>15</v>
      </c>
      <c r="B9" s="21" t="str">
        <f>IFERROR(VLOOKUP(BulletinAnnuel!B8,Eleve[],2,FALSE),"")</f>
        <v>TCHAO Paul</v>
      </c>
      <c r="C9" s="21"/>
      <c r="D9" s="21"/>
      <c r="E9" s="22"/>
      <c r="F9" s="3"/>
      <c r="G9" s="3"/>
      <c r="H9" s="3"/>
      <c r="I9" s="3"/>
      <c r="J9" s="3"/>
      <c r="K9" s="3"/>
    </row>
    <row r="10" spans="1:11" ht="15.75" thickBot="1" x14ac:dyDescent="0.3">
      <c r="A10" s="6" t="s">
        <v>16</v>
      </c>
      <c r="B10" s="23" t="str">
        <f>IFERROR(VLOOKUP(B8,Eleve[],3,FALSE),"")</f>
        <v>Bachelor1</v>
      </c>
      <c r="C10" s="23"/>
      <c r="D10" s="23"/>
      <c r="E10" s="24"/>
      <c r="F10" s="3"/>
      <c r="G10" s="3"/>
      <c r="H10" s="3"/>
      <c r="I10" s="3"/>
      <c r="J10" s="3"/>
      <c r="K10" s="3"/>
    </row>
    <row r="11" spans="1:11" ht="15.75" thickBot="1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</row>
    <row r="12" spans="1:11" x14ac:dyDescent="0.25">
      <c r="A12" s="25" t="s">
        <v>44</v>
      </c>
      <c r="B12" s="27" t="s">
        <v>37</v>
      </c>
      <c r="C12" s="27" t="s">
        <v>38</v>
      </c>
      <c r="D12" s="29" t="s">
        <v>40</v>
      </c>
      <c r="E12" s="30"/>
      <c r="F12" s="31"/>
      <c r="G12" s="29" t="s">
        <v>42</v>
      </c>
      <c r="H12" s="31"/>
      <c r="I12" s="32" t="s">
        <v>43</v>
      </c>
      <c r="J12" s="33"/>
      <c r="K12" s="34"/>
    </row>
    <row r="13" spans="1:11" x14ac:dyDescent="0.25">
      <c r="A13" s="26"/>
      <c r="B13" s="28"/>
      <c r="C13" s="28"/>
      <c r="D13" s="7" t="s">
        <v>39</v>
      </c>
      <c r="E13" s="7" t="s">
        <v>41</v>
      </c>
      <c r="F13" s="7" t="s">
        <v>1</v>
      </c>
      <c r="G13" s="7" t="s">
        <v>41</v>
      </c>
      <c r="H13" s="7" t="s">
        <v>1</v>
      </c>
      <c r="I13" s="35"/>
      <c r="J13" s="36"/>
      <c r="K13" s="37"/>
    </row>
    <row r="14" spans="1:11" x14ac:dyDescent="0.25">
      <c r="A14" s="5" t="s">
        <v>17</v>
      </c>
      <c r="B14" s="7">
        <f>IFERROR(VLOOKUP(A14,Matieres[],3,FALSE),"")</f>
        <v>2</v>
      </c>
      <c r="C14" s="7">
        <f>IF(A14="","",IFERROR(COUNTIFS(notes!A:A,BulletinAnnuel!$B$8,notes!C:C,BulletinAnnuel!A14),""))</f>
        <v>1</v>
      </c>
      <c r="D14" s="7">
        <f>IFERROR(VLOOKUP(A14,Matieres[],2,FALSE),"")</f>
        <v>3</v>
      </c>
      <c r="E14" s="7">
        <f>IFERROR(AVERAGEIFS(Note[Moyenne],Note[Matricule de l''eleve],BulletinAnnuel!$B$8,Note[Matiere],BulletinAnnuel!A14),"")</f>
        <v>18.5</v>
      </c>
      <c r="F14" s="7">
        <f>IFERROR(AVERAGEIF(Note[Matiere],BulletinAnnuel!A14,Note[Moyenne]),"")</f>
        <v>13.772727272727273</v>
      </c>
      <c r="G14" s="7">
        <f>IFERROR(IF(A14="","",D14*E14),"")</f>
        <v>55.5</v>
      </c>
      <c r="H14" s="7">
        <f>IFERROR(IF(A14="","",D14*F14),"")</f>
        <v>41.31818181818182</v>
      </c>
      <c r="I14" s="38" t="str">
        <f>IFERROR(IF(E14="","",IF(E14&lt;10,"NON ACQUIS",IF(E14&lt;16,"EN COURS D'ACQUISITION","ACQUIS"))),"")</f>
        <v>ACQUIS</v>
      </c>
      <c r="J14" s="40"/>
      <c r="K14" s="41"/>
    </row>
    <row r="15" spans="1:11" x14ac:dyDescent="0.25">
      <c r="A15" s="5" t="s">
        <v>18</v>
      </c>
      <c r="B15" s="7">
        <f>IFERROR(VLOOKUP(A15,Matieres[],3,FALSE),"")</f>
        <v>2</v>
      </c>
      <c r="C15" s="7">
        <f>IF(A15="","",IFERROR(COUNTIFS(notes!A:A,BulletinAnnuel!$B$8,notes!C:C,BulletinAnnuel!A15),""))</f>
        <v>1</v>
      </c>
      <c r="D15" s="7">
        <f>IFERROR(VLOOKUP(A15,Matieres[],2,FALSE),"")</f>
        <v>3</v>
      </c>
      <c r="E15" s="7">
        <f>IFERROR(AVERAGEIFS(Note[Moyenne],Note[Matricule de l''eleve],BulletinAnnuel!$B$8,Note[Matiere],BulletinAnnuel!A15),"")</f>
        <v>14</v>
      </c>
      <c r="F15" s="7">
        <f>IFERROR(AVERAGEIF(Note[Matiere],BulletinAnnuel!A15,Note[Moyenne]),"")</f>
        <v>12.5</v>
      </c>
      <c r="G15" s="7">
        <f t="shared" ref="G15:G38" si="0">IFERROR(IF(A15="","",D15*E15),"")</f>
        <v>42</v>
      </c>
      <c r="H15" s="7">
        <f t="shared" ref="H15:H38" si="1">IFERROR(IF(A15="","",D15*F15),"")</f>
        <v>37.5</v>
      </c>
      <c r="I15" s="38" t="str">
        <f t="shared" ref="I15:I32" si="2">IFERROR(IF(E15="","",IF(E15&lt;10,"NON ACQUIS",IF(E15&lt;16,"EN COURS D'ACQUISITION","ACQUIS"))),"")</f>
        <v>EN COURS D'ACQUISITION</v>
      </c>
      <c r="J15" s="40"/>
      <c r="K15" s="41"/>
    </row>
    <row r="16" spans="1:11" x14ac:dyDescent="0.25">
      <c r="A16" s="5" t="s">
        <v>14</v>
      </c>
      <c r="B16" s="7">
        <f>IFERROR(VLOOKUP(A16,Matieres[],3,FALSE),"")</f>
        <v>1</v>
      </c>
      <c r="C16" s="7">
        <f>IF(A16="","",IFERROR(COUNTIFS(notes!A:A,BulletinAnnuel!$B$8,notes!C:C,BulletinAnnuel!A16),""))</f>
        <v>0</v>
      </c>
      <c r="D16" s="7">
        <f>IFERROR(VLOOKUP(A16,Matieres[],2,FALSE),"")</f>
        <v>3</v>
      </c>
      <c r="E16" s="7" t="str">
        <f>IFERROR(AVERAGEIFS(Note[Moyenne],Note[Matricule de l''eleve],BulletinAnnuel!$B$8,Note[Matiere],BulletinAnnuel!A16),"")</f>
        <v/>
      </c>
      <c r="F16" s="7">
        <f>IFERROR(AVERAGEIF(Note[Matiere],BulletinAnnuel!A16,Note[Moyenne]),"")</f>
        <v>10</v>
      </c>
      <c r="G16" s="7" t="str">
        <f t="shared" si="0"/>
        <v/>
      </c>
      <c r="H16" s="7">
        <f t="shared" si="1"/>
        <v>30</v>
      </c>
      <c r="I16" s="38" t="str">
        <f t="shared" si="2"/>
        <v/>
      </c>
      <c r="J16" s="40"/>
      <c r="K16" s="41"/>
    </row>
    <row r="17" spans="1:11" x14ac:dyDescent="0.25">
      <c r="A17" s="5" t="s">
        <v>19</v>
      </c>
      <c r="B17" s="7">
        <f>IFERROR(VLOOKUP(A17,Matieres[],3,FALSE),"")</f>
        <v>2</v>
      </c>
      <c r="C17" s="7">
        <f>IF(A17="","",IFERROR(COUNTIFS(notes!A:A,BulletinAnnuel!$B$8,notes!C:C,BulletinAnnuel!A17),""))</f>
        <v>1</v>
      </c>
      <c r="D17" s="7">
        <f>IFERROR(VLOOKUP(A17,Matieres[],2,FALSE),"")</f>
        <v>2</v>
      </c>
      <c r="E17" s="7">
        <f>IFERROR(AVERAGEIFS(Note[Moyenne],Note[Matricule de l''eleve],BulletinAnnuel!$B$8,Note[Matiere],BulletinAnnuel!A17),"")</f>
        <v>13</v>
      </c>
      <c r="F17" s="7">
        <f>IFERROR(AVERAGEIF(Note[Matiere],BulletinAnnuel!A17,Note[Moyenne]),"")</f>
        <v>12</v>
      </c>
      <c r="G17" s="7">
        <f t="shared" si="0"/>
        <v>26</v>
      </c>
      <c r="H17" s="7">
        <f t="shared" si="1"/>
        <v>24</v>
      </c>
      <c r="I17" s="38" t="str">
        <f t="shared" si="2"/>
        <v>EN COURS D'ACQUISITION</v>
      </c>
      <c r="J17" s="40"/>
      <c r="K17" s="41"/>
    </row>
    <row r="18" spans="1:11" x14ac:dyDescent="0.25">
      <c r="A18" s="5" t="s">
        <v>20</v>
      </c>
      <c r="B18" s="7">
        <f>IFERROR(VLOOKUP(A18,Matieres[],3,FALSE),"")</f>
        <v>2</v>
      </c>
      <c r="C18" s="7">
        <f>IF(A18="","",IFERROR(COUNTIFS(notes!A:A,BulletinAnnuel!$B$8,notes!C:C,BulletinAnnuel!A18),""))</f>
        <v>1</v>
      </c>
      <c r="D18" s="7">
        <f>IFERROR(VLOOKUP(A18,Matieres[],2,FALSE),"")</f>
        <v>2</v>
      </c>
      <c r="E18" s="7">
        <f>IFERROR(AVERAGEIFS(Note[Moyenne],Note[Matricule de l''eleve],BulletinAnnuel!$B$8,Note[Matiere],BulletinAnnuel!A18),"")</f>
        <v>12.5</v>
      </c>
      <c r="F18" s="7">
        <f>IFERROR(AVERAGEIF(Note[Matiere],BulletinAnnuel!A18,Note[Moyenne]),"")</f>
        <v>12.5</v>
      </c>
      <c r="G18" s="7">
        <f t="shared" si="0"/>
        <v>25</v>
      </c>
      <c r="H18" s="7">
        <f t="shared" si="1"/>
        <v>25</v>
      </c>
      <c r="I18" s="38" t="str">
        <f t="shared" si="2"/>
        <v>EN COURS D'ACQUISITION</v>
      </c>
      <c r="J18" s="40"/>
      <c r="K18" s="41"/>
    </row>
    <row r="19" spans="1:11" x14ac:dyDescent="0.25">
      <c r="A19" s="5" t="s">
        <v>21</v>
      </c>
      <c r="B19" s="7">
        <f>IFERROR(VLOOKUP(A19,Matieres[],3,FALSE),"")</f>
        <v>2</v>
      </c>
      <c r="C19" s="7">
        <f>IF(A19="","",IFERROR(COUNTIFS(notes!A:A,BulletinAnnuel!$B$8,notes!C:C,BulletinAnnuel!A19),""))</f>
        <v>1</v>
      </c>
      <c r="D19" s="7">
        <f>IFERROR(VLOOKUP(A19,Matieres[],2,FALSE),"")</f>
        <v>3</v>
      </c>
      <c r="E19" s="7">
        <f>IFERROR(AVERAGEIFS(Note[Moyenne],Note[Matricule de l''eleve],BulletinAnnuel!$B$8,Note[Matiere],BulletinAnnuel!A19),"")</f>
        <v>13.5</v>
      </c>
      <c r="F19" s="7">
        <f>IFERROR(AVERAGEIF(Note[Matiere],BulletinAnnuel!A19,Note[Moyenne]),"")</f>
        <v>12.5</v>
      </c>
      <c r="G19" s="7">
        <f t="shared" si="0"/>
        <v>40.5</v>
      </c>
      <c r="H19" s="7">
        <f t="shared" si="1"/>
        <v>37.5</v>
      </c>
      <c r="I19" s="38" t="str">
        <f t="shared" si="2"/>
        <v>EN COURS D'ACQUISITION</v>
      </c>
      <c r="J19" s="40"/>
      <c r="K19" s="41"/>
    </row>
    <row r="20" spans="1:11" x14ac:dyDescent="0.25">
      <c r="A20" s="5" t="s">
        <v>22</v>
      </c>
      <c r="B20" s="7">
        <f>IFERROR(VLOOKUP(A20,Matieres[],3,FALSE),"")</f>
        <v>2</v>
      </c>
      <c r="C20" s="7">
        <f>IF(A20="","",IFERROR(COUNTIFS(notes!A:A,BulletinAnnuel!$B$8,notes!C:C,BulletinAnnuel!A20),""))</f>
        <v>1</v>
      </c>
      <c r="D20" s="7">
        <f>IFERROR(VLOOKUP(A20,Matieres[],2,FALSE),"")</f>
        <v>2</v>
      </c>
      <c r="E20" s="7">
        <f>IFERROR(AVERAGEIFS(Note[Moyenne],Note[Matricule de l''eleve],BulletinAnnuel!$B$8,Note[Matiere],BulletinAnnuel!A20),"")</f>
        <v>13</v>
      </c>
      <c r="F20" s="7">
        <f>IFERROR(AVERAGEIF(Note[Matiere],BulletinAnnuel!A20,Note[Moyenne]),"")</f>
        <v>15.25</v>
      </c>
      <c r="G20" s="7">
        <f t="shared" si="0"/>
        <v>26</v>
      </c>
      <c r="H20" s="7">
        <f t="shared" si="1"/>
        <v>30.5</v>
      </c>
      <c r="I20" s="38" t="str">
        <f t="shared" si="2"/>
        <v>EN COURS D'ACQUISITION</v>
      </c>
      <c r="J20" s="40"/>
      <c r="K20" s="41"/>
    </row>
    <row r="21" spans="1:11" x14ac:dyDescent="0.25">
      <c r="A21" s="5" t="s">
        <v>23</v>
      </c>
      <c r="B21" s="7">
        <f>IFERROR(VLOOKUP(A21,Matieres[],3,FALSE),"")</f>
        <v>2</v>
      </c>
      <c r="C21" s="7">
        <f>IF(A21="","",IFERROR(COUNTIFS(notes!A:A,BulletinAnnuel!$B$8,notes!C:C,BulletinAnnuel!A21),""))</f>
        <v>1</v>
      </c>
      <c r="D21" s="7">
        <f>IFERROR(VLOOKUP(A21,Matieres[],2,FALSE),"")</f>
        <v>3</v>
      </c>
      <c r="E21" s="7">
        <f>IFERROR(AVERAGEIFS(Note[Moyenne],Note[Matricule de l''eleve],BulletinAnnuel!$B$8,Note[Matiere],BulletinAnnuel!A21),"")</f>
        <v>10</v>
      </c>
      <c r="F21" s="7">
        <f>IFERROR(AVERAGEIF(Note[Matiere],BulletinAnnuel!A21,Note[Moyenne]),"")</f>
        <v>10.75</v>
      </c>
      <c r="G21" s="7">
        <f t="shared" si="0"/>
        <v>30</v>
      </c>
      <c r="H21" s="7">
        <f t="shared" si="1"/>
        <v>32.25</v>
      </c>
      <c r="I21" s="38" t="str">
        <f t="shared" si="2"/>
        <v>EN COURS D'ACQUISITION</v>
      </c>
      <c r="J21" s="40"/>
      <c r="K21" s="41"/>
    </row>
    <row r="22" spans="1:11" x14ac:dyDescent="0.25">
      <c r="A22" s="5" t="s">
        <v>24</v>
      </c>
      <c r="B22" s="7">
        <f>IFERROR(VLOOKUP(A22,Matieres[],3,FALSE),"")</f>
        <v>2</v>
      </c>
      <c r="C22" s="7">
        <f>IF(A22="","",IFERROR(COUNTIFS(notes!A:A,BulletinAnnuel!$B$8,notes!C:C,BulletinAnnuel!A22),""))</f>
        <v>1</v>
      </c>
      <c r="D22" s="7">
        <f>IFERROR(VLOOKUP(A22,Matieres[],2,FALSE),"")</f>
        <v>2</v>
      </c>
      <c r="E22" s="7">
        <f>IFERROR(AVERAGEIFS(Note[Moyenne],Note[Matricule de l''eleve],BulletinAnnuel!$B$8,Note[Matiere],BulletinAnnuel!A22),"")</f>
        <v>11.5</v>
      </c>
      <c r="F22" s="7">
        <f>IFERROR(AVERAGEIF(Note[Matiere],BulletinAnnuel!A22,Note[Moyenne]),"")</f>
        <v>11.75</v>
      </c>
      <c r="G22" s="7">
        <f t="shared" si="0"/>
        <v>23</v>
      </c>
      <c r="H22" s="7">
        <f t="shared" si="1"/>
        <v>23.5</v>
      </c>
      <c r="I22" s="38" t="str">
        <f t="shared" si="2"/>
        <v>EN COURS D'ACQUISITION</v>
      </c>
      <c r="J22" s="40"/>
      <c r="K22" s="41"/>
    </row>
    <row r="23" spans="1:11" x14ac:dyDescent="0.25">
      <c r="A23" s="5" t="s">
        <v>25</v>
      </c>
      <c r="B23" s="7">
        <f>IFERROR(VLOOKUP(A23,Matieres[],3,FALSE),"")</f>
        <v>1</v>
      </c>
      <c r="C23" s="7">
        <f>IF(A23="","",IFERROR(COUNTIFS(notes!A:A,BulletinAnnuel!$B$8,notes!C:C,BulletinAnnuel!A23),""))</f>
        <v>1</v>
      </c>
      <c r="D23" s="7">
        <f>IFERROR(VLOOKUP(A23,Matieres[],2,FALSE),"")</f>
        <v>2</v>
      </c>
      <c r="E23" s="7">
        <f>IFERROR(AVERAGEIFS(Note[Moyenne],Note[Matricule de l''eleve],BulletinAnnuel!$B$8,Note[Matiere],BulletinAnnuel!A23),"")</f>
        <v>16</v>
      </c>
      <c r="F23" s="7">
        <f>IFERROR(AVERAGEIF(Note[Matiere],BulletinAnnuel!A23,Note[Moyenne]),"")</f>
        <v>16.25</v>
      </c>
      <c r="G23" s="7">
        <f t="shared" si="0"/>
        <v>32</v>
      </c>
      <c r="H23" s="7">
        <f t="shared" si="1"/>
        <v>32.5</v>
      </c>
      <c r="I23" s="38" t="str">
        <f t="shared" si="2"/>
        <v>ACQUIS</v>
      </c>
      <c r="J23" s="40"/>
      <c r="K23" s="41"/>
    </row>
    <row r="24" spans="1:11" x14ac:dyDescent="0.25">
      <c r="A24" s="5" t="s">
        <v>26</v>
      </c>
      <c r="B24" s="7">
        <f>IFERROR(VLOOKUP(A24,Matieres[],3,FALSE),"")</f>
        <v>1</v>
      </c>
      <c r="C24" s="7">
        <f>IF(A24="","",IFERROR(COUNTIFS(notes!A:A,BulletinAnnuel!$B$8,notes!C:C,BulletinAnnuel!A24),""))</f>
        <v>1</v>
      </c>
      <c r="D24" s="7">
        <f>IFERROR(VLOOKUP(A24,Matieres[],2,FALSE),"")</f>
        <v>2</v>
      </c>
      <c r="E24" s="7">
        <f>IFERROR(AVERAGEIFS(Note[Moyenne],Note[Matricule de l''eleve],BulletinAnnuel!$B$8,Note[Matiere],BulletinAnnuel!A24),"")</f>
        <v>10.5</v>
      </c>
      <c r="F24" s="7">
        <f>IFERROR(AVERAGEIF(Note[Matiere],BulletinAnnuel!A24,Note[Moyenne]),"")</f>
        <v>9.75</v>
      </c>
      <c r="G24" s="7">
        <f t="shared" si="0"/>
        <v>21</v>
      </c>
      <c r="H24" s="7">
        <f t="shared" si="1"/>
        <v>19.5</v>
      </c>
      <c r="I24" s="38" t="str">
        <f t="shared" si="2"/>
        <v>EN COURS D'ACQUISITION</v>
      </c>
      <c r="J24" s="40"/>
      <c r="K24" s="41"/>
    </row>
    <row r="25" spans="1:11" x14ac:dyDescent="0.25">
      <c r="A25" s="5" t="s">
        <v>27</v>
      </c>
      <c r="B25" s="7">
        <f>IFERROR(VLOOKUP(A25,Matieres[],3,FALSE),"")</f>
        <v>1</v>
      </c>
      <c r="C25" s="7">
        <f>IF(A25="","",IFERROR(COUNTIFS(notes!A:A,BulletinAnnuel!$B$8,notes!C:C,BulletinAnnuel!A25),""))</f>
        <v>1</v>
      </c>
      <c r="D25" s="7">
        <f>IFERROR(VLOOKUP(A25,Matieres[],2,FALSE),"")</f>
        <v>2</v>
      </c>
      <c r="E25" s="7">
        <f>IFERROR(AVERAGEIFS(Note[Moyenne],Note[Matricule de l''eleve],BulletinAnnuel!$B$8,Note[Matiere],BulletinAnnuel!A25),"")</f>
        <v>8</v>
      </c>
      <c r="F25" s="7">
        <f>IFERROR(AVERAGEIF(Note[Matiere],BulletinAnnuel!A25,Note[Moyenne]),"")</f>
        <v>11.25</v>
      </c>
      <c r="G25" s="7">
        <f t="shared" si="0"/>
        <v>16</v>
      </c>
      <c r="H25" s="7">
        <f t="shared" si="1"/>
        <v>22.5</v>
      </c>
      <c r="I25" s="38" t="str">
        <f t="shared" si="2"/>
        <v>NON ACQUIS</v>
      </c>
      <c r="J25" s="40"/>
      <c r="K25" s="41"/>
    </row>
    <row r="26" spans="1:11" x14ac:dyDescent="0.25">
      <c r="A26" s="5" t="s">
        <v>28</v>
      </c>
      <c r="B26" s="7">
        <f>IFERROR(VLOOKUP(A26,Matieres[],3,FALSE),"")</f>
        <v>1</v>
      </c>
      <c r="C26" s="7">
        <f>IF(A26="","",IFERROR(COUNTIFS(notes!A:A,BulletinAnnuel!$B$8,notes!C:C,BulletinAnnuel!A26),""))</f>
        <v>1</v>
      </c>
      <c r="D26" s="7">
        <f>IFERROR(VLOOKUP(A26,Matieres[],2,FALSE),"")</f>
        <v>2</v>
      </c>
      <c r="E26" s="7">
        <f>IFERROR(AVERAGEIFS(Note[Moyenne],Note[Matricule de l''eleve],BulletinAnnuel!$B$8,Note[Matiere],BulletinAnnuel!A26),"")</f>
        <v>9.5</v>
      </c>
      <c r="F26" s="7">
        <f>IFERROR(AVERAGEIF(Note[Matiere],BulletinAnnuel!A26,Note[Moyenne]),"")</f>
        <v>8.75</v>
      </c>
      <c r="G26" s="7">
        <f t="shared" si="0"/>
        <v>19</v>
      </c>
      <c r="H26" s="7">
        <f t="shared" si="1"/>
        <v>17.5</v>
      </c>
      <c r="I26" s="38" t="str">
        <f t="shared" si="2"/>
        <v>NON ACQUIS</v>
      </c>
      <c r="J26" s="40"/>
      <c r="K26" s="41"/>
    </row>
    <row r="27" spans="1:11" x14ac:dyDescent="0.25">
      <c r="A27" s="5" t="s">
        <v>29</v>
      </c>
      <c r="B27" s="7">
        <f>IFERROR(VLOOKUP(A27,Matieres[],3,FALSE),"")</f>
        <v>1</v>
      </c>
      <c r="C27" s="7">
        <f>IF(A27="","",IFERROR(COUNTIFS(notes!A:A,BulletinAnnuel!$B$8,notes!C:C,BulletinAnnuel!A27),""))</f>
        <v>1</v>
      </c>
      <c r="D27" s="7">
        <f>IFERROR(VLOOKUP(A27,Matieres[],2,FALSE),"")</f>
        <v>2</v>
      </c>
      <c r="E27" s="7">
        <f>IFERROR(AVERAGEIFS(Note[Moyenne],Note[Matricule de l''eleve],BulletinAnnuel!$B$8,Note[Matiere],BulletinAnnuel!A27),"")</f>
        <v>16</v>
      </c>
      <c r="F27" s="7">
        <f>IFERROR(AVERAGEIF(Note[Matiere],BulletinAnnuel!A27,Note[Moyenne]),"")</f>
        <v>16</v>
      </c>
      <c r="G27" s="7">
        <f t="shared" si="0"/>
        <v>32</v>
      </c>
      <c r="H27" s="7">
        <f t="shared" si="1"/>
        <v>32</v>
      </c>
      <c r="I27" s="38" t="str">
        <f t="shared" si="2"/>
        <v>ACQUIS</v>
      </c>
      <c r="J27" s="40"/>
      <c r="K27" s="41"/>
    </row>
    <row r="28" spans="1:11" x14ac:dyDescent="0.25">
      <c r="A28" s="5" t="s">
        <v>30</v>
      </c>
      <c r="B28" s="7">
        <f>IFERROR(VLOOKUP(A28,Matieres[],3,FALSE),"")</f>
        <v>1</v>
      </c>
      <c r="C28" s="7">
        <f>IF(A28="","",IFERROR(COUNTIFS(notes!A:A,BulletinAnnuel!$B$8,notes!C:C,BulletinAnnuel!A28),""))</f>
        <v>1</v>
      </c>
      <c r="D28" s="7">
        <f>IFERROR(VLOOKUP(A28,Matieres[],2,FALSE),"")</f>
        <v>2</v>
      </c>
      <c r="E28" s="7">
        <f>IFERROR(AVERAGEIFS(Note[Moyenne],Note[Matricule de l''eleve],BulletinAnnuel!$B$8,Note[Matiere],BulletinAnnuel!A28),"")</f>
        <v>19.5</v>
      </c>
      <c r="F28" s="7">
        <f>IFERROR(AVERAGEIF(Note[Matiere],BulletinAnnuel!A28,Note[Moyenne]),"")</f>
        <v>16</v>
      </c>
      <c r="G28" s="7">
        <f t="shared" si="0"/>
        <v>39</v>
      </c>
      <c r="H28" s="7">
        <f t="shared" si="1"/>
        <v>32</v>
      </c>
      <c r="I28" s="38" t="str">
        <f t="shared" si="2"/>
        <v>ACQUIS</v>
      </c>
      <c r="J28" s="40"/>
      <c r="K28" s="41"/>
    </row>
    <row r="29" spans="1:11" x14ac:dyDescent="0.25">
      <c r="A29" s="5" t="s">
        <v>31</v>
      </c>
      <c r="B29" s="7">
        <f>IFERROR(VLOOKUP(A29,Matieres[],3,FALSE),"")</f>
        <v>1</v>
      </c>
      <c r="C29" s="7">
        <f>IF(A29="","",IFERROR(COUNTIFS(notes!A:A,BulletinAnnuel!$B$8,notes!C:C,BulletinAnnuel!A29),""))</f>
        <v>1</v>
      </c>
      <c r="D29" s="7">
        <f>IFERROR(VLOOKUP(A29,Matieres[],2,FALSE),"")</f>
        <v>3</v>
      </c>
      <c r="E29" s="7">
        <f>IFERROR(AVERAGEIFS(Note[Moyenne],Note[Matricule de l''eleve],BulletinAnnuel!$B$8,Note[Matiere],BulletinAnnuel!A29),"")</f>
        <v>13.5</v>
      </c>
      <c r="F29" s="7">
        <f>IFERROR(AVERAGEIF(Note[Matiere],BulletinAnnuel!A29,Note[Moyenne]),"")</f>
        <v>13.75</v>
      </c>
      <c r="G29" s="7">
        <f t="shared" si="0"/>
        <v>40.5</v>
      </c>
      <c r="H29" s="7">
        <f t="shared" si="1"/>
        <v>41.25</v>
      </c>
      <c r="I29" s="38" t="str">
        <f t="shared" si="2"/>
        <v>EN COURS D'ACQUISITION</v>
      </c>
      <c r="J29" s="40"/>
      <c r="K29" s="41"/>
    </row>
    <row r="30" spans="1:11" x14ac:dyDescent="0.25">
      <c r="A30" s="5" t="s">
        <v>32</v>
      </c>
      <c r="B30" s="7">
        <f>IFERROR(VLOOKUP(A30,Matieres[],3,FALSE),"")</f>
        <v>1</v>
      </c>
      <c r="C30" s="7">
        <f>IF(A30="","",IFERROR(COUNTIFS(notes!A:A,BulletinAnnuel!$B$8,notes!C:C,BulletinAnnuel!A30),""))</f>
        <v>1</v>
      </c>
      <c r="D30" s="7">
        <f>IFERROR(VLOOKUP(A30,Matieres[],2,FALSE),"")</f>
        <v>2</v>
      </c>
      <c r="E30" s="7">
        <f>IFERROR(AVERAGEIFS(Note[Moyenne],Note[Matricule de l''eleve],BulletinAnnuel!$B$8,Note[Matiere],BulletinAnnuel!A30),"")</f>
        <v>15.5</v>
      </c>
      <c r="F30" s="7">
        <f>IFERROR(AVERAGEIF(Note[Matiere],BulletinAnnuel!A30,Note[Moyenne]),"")</f>
        <v>13.75</v>
      </c>
      <c r="G30" s="7">
        <f t="shared" si="0"/>
        <v>31</v>
      </c>
      <c r="H30" s="7">
        <f t="shared" si="1"/>
        <v>27.5</v>
      </c>
      <c r="I30" s="38" t="str">
        <f t="shared" si="2"/>
        <v>EN COURS D'ACQUISITION</v>
      </c>
      <c r="J30" s="40"/>
      <c r="K30" s="41"/>
    </row>
    <row r="31" spans="1:11" x14ac:dyDescent="0.25">
      <c r="A31" s="5" t="s">
        <v>33</v>
      </c>
      <c r="B31" s="7">
        <f>IFERROR(VLOOKUP(A31,Matieres[],3,FALSE),"")</f>
        <v>1</v>
      </c>
      <c r="C31" s="7">
        <f>IF(A31="","",IFERROR(COUNTIFS(notes!A:A,BulletinAnnuel!$B$8,notes!C:C,BulletinAnnuel!A31),""))</f>
        <v>1</v>
      </c>
      <c r="D31" s="7">
        <f>IFERROR(VLOOKUP(A31,Matieres[],2,FALSE),"")</f>
        <v>2</v>
      </c>
      <c r="E31" s="7">
        <f>IFERROR(AVERAGEIFS(Note[Moyenne],Note[Matricule de l''eleve],BulletinAnnuel!$B$8,Note[Matiere],BulletinAnnuel!A31),"")</f>
        <v>15.5</v>
      </c>
      <c r="F31" s="7">
        <f>IFERROR(AVERAGEIF(Note[Matiere],BulletinAnnuel!A31,Note[Moyenne]),"")</f>
        <v>13.25</v>
      </c>
      <c r="G31" s="7">
        <f t="shared" si="0"/>
        <v>31</v>
      </c>
      <c r="H31" s="7">
        <f t="shared" si="1"/>
        <v>26.5</v>
      </c>
      <c r="I31" s="38" t="str">
        <f t="shared" si="2"/>
        <v>EN COURS D'ACQUISITION</v>
      </c>
      <c r="J31" s="40"/>
      <c r="K31" s="41"/>
    </row>
    <row r="32" spans="1:11" x14ac:dyDescent="0.25">
      <c r="A32" s="5" t="s">
        <v>34</v>
      </c>
      <c r="B32" s="7">
        <f>IFERROR(VLOOKUP(A32,Matieres[],3,FALSE),"")</f>
        <v>1</v>
      </c>
      <c r="C32" s="7">
        <f>IF(A32="","",IFERROR(COUNTIFS(notes!A:A,BulletinAnnuel!$B$8,notes!C:C,BulletinAnnuel!A32),""))</f>
        <v>1</v>
      </c>
      <c r="D32" s="7">
        <f>IFERROR(VLOOKUP(A32,Matieres[],2,FALSE),"")</f>
        <v>2</v>
      </c>
      <c r="E32" s="7">
        <f>IFERROR(AVERAGEIFS(Note[Moyenne],Note[Matricule de l''eleve],BulletinAnnuel!$B$8,Note[Matiere],BulletinAnnuel!A32),"")</f>
        <v>12.5</v>
      </c>
      <c r="F32" s="7">
        <f>IFERROR(AVERAGEIF(Note[Matiere],BulletinAnnuel!A32,Note[Moyenne]),"")</f>
        <v>9.5</v>
      </c>
      <c r="G32" s="7">
        <f t="shared" si="0"/>
        <v>25</v>
      </c>
      <c r="H32" s="7">
        <f t="shared" si="1"/>
        <v>19</v>
      </c>
      <c r="I32" s="38" t="str">
        <f t="shared" si="2"/>
        <v>EN COURS D'ACQUISITION</v>
      </c>
      <c r="J32" s="40"/>
      <c r="K32" s="41"/>
    </row>
    <row r="33" spans="1:11" x14ac:dyDescent="0.25">
      <c r="A33" s="5" t="s">
        <v>72</v>
      </c>
      <c r="B33" s="7">
        <f>IFERROR(VLOOKUP(A33,Matieres[],3,FALSE),"")</f>
        <v>1</v>
      </c>
      <c r="C33" s="7">
        <f>IF(A33="","",IFERROR(COUNTIFS(notes!A:A,BulletinAnnuel!$B$8,notes!C:C,BulletinAnnuel!A33),""))</f>
        <v>0</v>
      </c>
      <c r="D33" s="7">
        <f>IFERROR(VLOOKUP(A33,Matieres[],2,FALSE),"")</f>
        <v>3</v>
      </c>
      <c r="E33" s="7" t="str">
        <f>IFERROR(AVERAGEIFS(Note[Moyenne],Note[Matricule de l''eleve],BulletinAnnuel!$B$8,Note[Matiere],BulletinAnnuel!A33),"")</f>
        <v/>
      </c>
      <c r="F33" s="7">
        <f>IFERROR(AVERAGEIF(Note[Matiere],BulletinAnnuel!A33,Note[Moyenne]),"")</f>
        <v>11</v>
      </c>
      <c r="G33" s="7" t="str">
        <f t="shared" si="0"/>
        <v/>
      </c>
      <c r="H33" s="7">
        <f t="shared" si="1"/>
        <v>33</v>
      </c>
      <c r="I33" s="38" t="str">
        <f t="shared" ref="I33:I38" si="3">IFERROR(IF(E33="","",IF(E33&lt;10,"NON ACQUIS",IF(E33&lt;16,"EN COURS D'ACQUISITION","ACQUIS"))),"")</f>
        <v/>
      </c>
      <c r="J33" s="40"/>
      <c r="K33" s="41"/>
    </row>
    <row r="34" spans="1:11" x14ac:dyDescent="0.25">
      <c r="A34" s="5" t="s">
        <v>73</v>
      </c>
      <c r="B34" s="7">
        <f>IFERROR(VLOOKUP(A34,Matieres[],3,FALSE),"")</f>
        <v>1</v>
      </c>
      <c r="C34" s="7">
        <f>IF(A34="","",IFERROR(COUNTIFS(notes!A:A,BulletinAnnuel!$B$8,notes!C:C,BulletinAnnuel!A34),""))</f>
        <v>0</v>
      </c>
      <c r="D34" s="7">
        <f>IFERROR(VLOOKUP(A34,Matieres[],2,FALSE),"")</f>
        <v>2</v>
      </c>
      <c r="E34" s="7" t="str">
        <f>IFERROR(AVERAGEIFS(Note[Moyenne],Note[Matricule de l''eleve],BulletinAnnuel!$B$8,Note[Matiere],BulletinAnnuel!A34),"")</f>
        <v/>
      </c>
      <c r="F34" s="7">
        <f>IFERROR(AVERAGEIF(Note[Matiere],BulletinAnnuel!A34,Note[Moyenne]),"")</f>
        <v>13.5</v>
      </c>
      <c r="G34" s="7" t="str">
        <f t="shared" si="0"/>
        <v/>
      </c>
      <c r="H34" s="7">
        <f t="shared" si="1"/>
        <v>27</v>
      </c>
      <c r="I34" s="38" t="str">
        <f t="shared" si="3"/>
        <v/>
      </c>
      <c r="J34" s="40"/>
      <c r="K34" s="41"/>
    </row>
    <row r="35" spans="1:11" x14ac:dyDescent="0.25">
      <c r="A35" s="5" t="s">
        <v>74</v>
      </c>
      <c r="B35" s="7">
        <f>IFERROR(VLOOKUP(A35,Matieres[],3,FALSE),"")</f>
        <v>1</v>
      </c>
      <c r="C35" s="7">
        <f>IF(A35="","",IFERROR(COUNTIFS(notes!A:A,BulletinAnnuel!$B$8,notes!C:C,BulletinAnnuel!A35),""))</f>
        <v>0</v>
      </c>
      <c r="D35" s="7">
        <f>IFERROR(VLOOKUP(A35,Matieres[],2,FALSE),"")</f>
        <v>2</v>
      </c>
      <c r="E35" s="7" t="str">
        <f>IFERROR(AVERAGEIFS(Note[Moyenne],Note[Matricule de l''eleve],BulletinAnnuel!$B$8,Note[Matiere],BulletinAnnuel!A35),"")</f>
        <v/>
      </c>
      <c r="F35" s="7">
        <f>IFERROR(AVERAGEIF(Note[Matiere],BulletinAnnuel!A35,Note[Moyenne]),"")</f>
        <v>11.5</v>
      </c>
      <c r="G35" s="7" t="str">
        <f t="shared" si="0"/>
        <v/>
      </c>
      <c r="H35" s="7">
        <f t="shared" si="1"/>
        <v>23</v>
      </c>
      <c r="I35" s="38" t="str">
        <f t="shared" si="3"/>
        <v/>
      </c>
      <c r="J35" s="40"/>
      <c r="K35" s="41"/>
    </row>
    <row r="36" spans="1:11" x14ac:dyDescent="0.25">
      <c r="A36" s="5" t="s">
        <v>75</v>
      </c>
      <c r="B36" s="7">
        <f>IFERROR(VLOOKUP(A36,Matieres[],3,FALSE),"")</f>
        <v>1</v>
      </c>
      <c r="C36" s="7">
        <f>IF(A36="","",IFERROR(COUNTIFS(notes!A:A,BulletinAnnuel!$B$8,notes!C:C,BulletinAnnuel!A36),""))</f>
        <v>0</v>
      </c>
      <c r="D36" s="7">
        <f>IFERROR(VLOOKUP(A36,Matieres[],2,FALSE),"")</f>
        <v>2</v>
      </c>
      <c r="E36" s="7" t="str">
        <f>IFERROR(AVERAGEIFS(Note[Moyenne],Note[Matricule de l''eleve],BulletinAnnuel!$B$8,Note[Matiere],BulletinAnnuel!A36),"")</f>
        <v/>
      </c>
      <c r="F36" s="7">
        <f>IFERROR(AVERAGEIF(Note[Matiere],BulletinAnnuel!A36,Note[Moyenne]),"")</f>
        <v>8.5</v>
      </c>
      <c r="G36" s="7" t="str">
        <f t="shared" si="0"/>
        <v/>
      </c>
      <c r="H36" s="7">
        <f t="shared" si="1"/>
        <v>17</v>
      </c>
      <c r="I36" s="38" t="str">
        <f t="shared" si="3"/>
        <v/>
      </c>
      <c r="J36" s="40"/>
      <c r="K36" s="41"/>
    </row>
    <row r="37" spans="1:11" x14ac:dyDescent="0.25">
      <c r="A37" s="5" t="s">
        <v>76</v>
      </c>
      <c r="B37" s="7">
        <f>IFERROR(VLOOKUP(A37,Matieres[],3,FALSE),"")</f>
        <v>1</v>
      </c>
      <c r="C37" s="7">
        <f>IF(A37="","",IFERROR(COUNTIFS(notes!A:A,BulletinAnnuel!$B$8,notes!C:C,BulletinAnnuel!A37),""))</f>
        <v>0</v>
      </c>
      <c r="D37" s="7">
        <f>IFERROR(VLOOKUP(A37,Matieres[],2,FALSE),"")</f>
        <v>2</v>
      </c>
      <c r="E37" s="7" t="str">
        <f>IFERROR(AVERAGEIFS(Note[Moyenne],Note[Matricule de l''eleve],BulletinAnnuel!$B$8,Note[Matiere],BulletinAnnuel!A37),"")</f>
        <v/>
      </c>
      <c r="F37" s="7">
        <f>IFERROR(AVERAGEIF(Note[Matiere],BulletinAnnuel!A37,Note[Moyenne]),"")</f>
        <v>10.5</v>
      </c>
      <c r="G37" s="7" t="str">
        <f t="shared" si="0"/>
        <v/>
      </c>
      <c r="H37" s="7">
        <f t="shared" si="1"/>
        <v>21</v>
      </c>
      <c r="I37" s="38" t="str">
        <f t="shared" si="3"/>
        <v/>
      </c>
      <c r="J37" s="40"/>
      <c r="K37" s="41"/>
    </row>
    <row r="38" spans="1:11" x14ac:dyDescent="0.25">
      <c r="A38" s="5" t="s">
        <v>77</v>
      </c>
      <c r="B38" s="7">
        <f>IFERROR(VLOOKUP(A38,Matieres[],3,FALSE),"")</f>
        <v>1</v>
      </c>
      <c r="C38" s="7">
        <f>IF(A38="","",IFERROR(COUNTIFS(notes!A:A,BulletinAnnuel!$B$8,notes!C:C,BulletinAnnuel!A38),""))</f>
        <v>0</v>
      </c>
      <c r="D38" s="7">
        <f>IFERROR(VLOOKUP(A38,Matieres[],2,FALSE),"")</f>
        <v>3</v>
      </c>
      <c r="E38" s="7" t="str">
        <f>IFERROR(AVERAGEIFS(Note[Moyenne],Note[Matricule de l''eleve],BulletinAnnuel!$B$8,Note[Matiere],BulletinAnnuel!A38),"")</f>
        <v/>
      </c>
      <c r="F38" s="7">
        <f>IFERROR(AVERAGEIF(Note[Matiere],BulletinAnnuel!A38,Note[Moyenne]),"")</f>
        <v>11</v>
      </c>
      <c r="G38" s="7" t="str">
        <f t="shared" si="0"/>
        <v/>
      </c>
      <c r="H38" s="7">
        <f t="shared" si="1"/>
        <v>33</v>
      </c>
      <c r="I38" s="38" t="str">
        <f t="shared" si="3"/>
        <v/>
      </c>
      <c r="J38" s="40"/>
      <c r="K38" s="41"/>
    </row>
    <row r="39" spans="1:11" x14ac:dyDescent="0.25">
      <c r="A39" s="5" t="s">
        <v>45</v>
      </c>
      <c r="B39" s="7">
        <f>SUM(B14:B38)</f>
        <v>33</v>
      </c>
      <c r="C39" s="7">
        <f>SUM(C14:C38)</f>
        <v>18</v>
      </c>
      <c r="D39" s="7">
        <f>SUM(D14:D38)</f>
        <v>58</v>
      </c>
      <c r="E39" s="7"/>
      <c r="F39" s="7"/>
      <c r="G39" s="7">
        <f>SUM(G14:G38)</f>
        <v>554.5</v>
      </c>
      <c r="H39" s="7">
        <f>SUM(H14:H38)</f>
        <v>705.81818181818176</v>
      </c>
      <c r="I39" s="38"/>
      <c r="J39" s="40"/>
      <c r="K39" s="41"/>
    </row>
    <row r="40" spans="1:11" ht="30" x14ac:dyDescent="0.25">
      <c r="A40" s="42" t="s">
        <v>53</v>
      </c>
      <c r="B40" s="39"/>
      <c r="C40" s="38" t="s">
        <v>46</v>
      </c>
      <c r="D40" s="39"/>
      <c r="E40" s="38" t="s">
        <v>47</v>
      </c>
      <c r="F40" s="40"/>
      <c r="G40" s="39"/>
      <c r="H40" s="8" t="s">
        <v>48</v>
      </c>
      <c r="I40" s="7" t="s">
        <v>49</v>
      </c>
      <c r="J40" s="38" t="s">
        <v>50</v>
      </c>
      <c r="K40" s="41"/>
    </row>
    <row r="41" spans="1:11" x14ac:dyDescent="0.25">
      <c r="A41" s="5" t="s">
        <v>54</v>
      </c>
      <c r="B41" s="8" t="s">
        <v>55</v>
      </c>
      <c r="C41" s="44">
        <f>H39/D39</f>
        <v>12.169278996865202</v>
      </c>
      <c r="D41" s="46"/>
      <c r="E41" s="44">
        <f>G39/D39</f>
        <v>9.5603448275862064</v>
      </c>
      <c r="F41" s="45"/>
      <c r="G41" s="46"/>
      <c r="H41" s="49" t="str">
        <f>IFERROR(IF(E41="","",IF(E41&lt;10,"Mauvais travail,doit faire beaucoup d'efforts",IF(E41&lt;15,"Bon travail,doit faire des efforts","Bon travail doit garder le meme rhyme"))),"")</f>
        <v>Mauvais travail,doit faire beaucoup d'efforts</v>
      </c>
      <c r="I41" s="51" t="str">
        <f>IFERROR(IF(E41="","",IF(E41&lt;6,"MEDIOCRE",IF(E41&lt;10,"FAIBLE", IF(E41&lt;12,"PASSABLE",IF(E41&lt;14,"ASSEZ BIEN",IF(E41&lt;16,"BIEN",IF(E41&lt;19,"TRES BIEN","EXCELLENT"))))))),"")</f>
        <v>FAIBLE</v>
      </c>
      <c r="J41" s="7" t="s">
        <v>51</v>
      </c>
      <c r="K41" s="9" t="s">
        <v>52</v>
      </c>
    </row>
    <row r="42" spans="1:11" ht="15.75" thickBot="1" x14ac:dyDescent="0.3">
      <c r="A42" s="6"/>
      <c r="B42" s="10"/>
      <c r="C42" s="47"/>
      <c r="D42" s="48"/>
      <c r="E42" s="47"/>
      <c r="F42" s="43"/>
      <c r="G42" s="48"/>
      <c r="H42" s="50"/>
      <c r="I42" s="52"/>
      <c r="J42" s="11">
        <v>25</v>
      </c>
      <c r="K42" s="12" t="str">
        <f>IFERROR(IF(J42="","",IF(J42=0,"BONNE CONDUITE",IF(J42&lt;17,"AVERTISSEMENT",IF(J42&lt;50,"BLAME","EXCLUSION DEFINITIVE")))),"")</f>
        <v>BLAME</v>
      </c>
    </row>
  </sheetData>
  <mergeCells count="46">
    <mergeCell ref="E40:G40"/>
    <mergeCell ref="C40:D40"/>
    <mergeCell ref="A40:B40"/>
    <mergeCell ref="A1:E3"/>
    <mergeCell ref="A4:E4"/>
    <mergeCell ref="H41:H42"/>
    <mergeCell ref="I41:I42"/>
    <mergeCell ref="I33:K33"/>
    <mergeCell ref="I35:K35"/>
    <mergeCell ref="I36:K36"/>
    <mergeCell ref="I37:K37"/>
    <mergeCell ref="I38:K38"/>
    <mergeCell ref="J40:K40"/>
    <mergeCell ref="G12:H12"/>
    <mergeCell ref="I12:K13"/>
    <mergeCell ref="I14:K14"/>
    <mergeCell ref="A7:E7"/>
    <mergeCell ref="B8:E8"/>
    <mergeCell ref="A12:A13"/>
    <mergeCell ref="B12:B13"/>
    <mergeCell ref="C12:C13"/>
    <mergeCell ref="D12:F12"/>
    <mergeCell ref="I31:K31"/>
    <mergeCell ref="I32:K32"/>
    <mergeCell ref="I39:K39"/>
    <mergeCell ref="I34:K34"/>
    <mergeCell ref="C41:D42"/>
    <mergeCell ref="E41:G42"/>
    <mergeCell ref="I25:K25"/>
    <mergeCell ref="I26:K26"/>
    <mergeCell ref="I27:K27"/>
    <mergeCell ref="I28:K28"/>
    <mergeCell ref="I29:K29"/>
    <mergeCell ref="I30:K30"/>
    <mergeCell ref="I19:K19"/>
    <mergeCell ref="I20:K20"/>
    <mergeCell ref="I21:K21"/>
    <mergeCell ref="I22:K22"/>
    <mergeCell ref="I23:K23"/>
    <mergeCell ref="I24:K24"/>
    <mergeCell ref="I15:K15"/>
    <mergeCell ref="I16:K16"/>
    <mergeCell ref="I17:K17"/>
    <mergeCell ref="I18:K18"/>
    <mergeCell ref="B9:E9"/>
    <mergeCell ref="B10:E10"/>
  </mergeCells>
  <conditionalFormatting sqref="I24:K38">
    <cfRule type="containsText" dxfId="3" priority="1" operator="containsText" text="NON ACQUIS">
      <formula>NOT(ISERROR(SEARCH("NON ACQUIS",I24)))</formula>
    </cfRule>
  </conditionalFormatting>
  <conditionalFormatting sqref="I14:K38">
    <cfRule type="containsText" dxfId="2" priority="3" operator="containsText" text="NA">
      <formula>NOT(ISERROR(SEARCH("NA",I14)))</formula>
    </cfRule>
    <cfRule type="containsText" dxfId="1" priority="4" operator="containsText" text="ECA">
      <formula>NOT(ISERROR(SEARCH("ECA",I14)))</formula>
    </cfRule>
  </conditionalFormatting>
  <conditionalFormatting sqref="I14:K38">
    <cfRule type="containsText" dxfId="0" priority="2" operator="containsText" text="EN COURS D'ACQUISITION">
      <formula>NOT(ISERROR(SEARCH("EN COURS D'ACQUISITION",I14)))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Bouton4_Cliquer">
                <anchor moveWithCells="1" sizeWithCells="1">
                  <from>
                    <xdr:col>12</xdr:col>
                    <xdr:colOff>419100</xdr:colOff>
                    <xdr:row>3</xdr:row>
                    <xdr:rowOff>76200</xdr:rowOff>
                  </from>
                  <to>
                    <xdr:col>14</xdr:col>
                    <xdr:colOff>123825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Eleve!$A$2:$A$10000</xm:f>
          </x14:formula1>
          <xm:sqref>B8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C8"/>
  <sheetViews>
    <sheetView workbookViewId="0"/>
  </sheetViews>
  <sheetFormatPr baseColWidth="10" defaultRowHeight="15" x14ac:dyDescent="0.25"/>
  <cols>
    <col min="1" max="1" width="21.5703125" customWidth="1"/>
    <col min="2" max="2" width="7.140625" customWidth="1"/>
  </cols>
  <sheetData>
    <row r="1" spans="1:3" x14ac:dyDescent="0.25">
      <c r="A1" t="s">
        <v>1</v>
      </c>
      <c r="C1" t="s">
        <v>3</v>
      </c>
    </row>
    <row r="2" spans="1:3" x14ac:dyDescent="0.25">
      <c r="A2" t="s">
        <v>7</v>
      </c>
      <c r="C2" t="s">
        <v>4</v>
      </c>
    </row>
    <row r="3" spans="1:3" x14ac:dyDescent="0.25">
      <c r="A3" t="s">
        <v>8</v>
      </c>
      <c r="C3" t="s">
        <v>5</v>
      </c>
    </row>
    <row r="4" spans="1:3" x14ac:dyDescent="0.25">
      <c r="A4" t="s">
        <v>9</v>
      </c>
    </row>
    <row r="5" spans="1:3" x14ac:dyDescent="0.25">
      <c r="A5" t="s">
        <v>10</v>
      </c>
    </row>
    <row r="6" spans="1:3" x14ac:dyDescent="0.25">
      <c r="A6" t="s">
        <v>11</v>
      </c>
    </row>
    <row r="7" spans="1:3" x14ac:dyDescent="0.25">
      <c r="A7" t="s">
        <v>12</v>
      </c>
    </row>
    <row r="8" spans="1:3" x14ac:dyDescent="0.25">
      <c r="A8" t="s">
        <v>13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Accueil</vt:lpstr>
      <vt:lpstr>Eleve</vt:lpstr>
      <vt:lpstr>Matieres</vt:lpstr>
      <vt:lpstr>notes</vt:lpstr>
      <vt:lpstr>Bulletin</vt:lpstr>
      <vt:lpstr>Feuil1</vt:lpstr>
      <vt:lpstr>Bulletin2</vt:lpstr>
      <vt:lpstr>BulletinAnnuel</vt:lpstr>
      <vt:lpstr>Configuration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2023-01-29T10:57:15Z</cp:lastPrinted>
  <dcterms:created xsi:type="dcterms:W3CDTF">2023-01-23T09:16:14Z</dcterms:created>
  <dcterms:modified xsi:type="dcterms:W3CDTF">2023-01-29T10:58:05Z</dcterms:modified>
</cp:coreProperties>
</file>